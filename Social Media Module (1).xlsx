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4F66627-A137-4C78-AB8F-0EEA065F4FC3}" xr6:coauthVersionLast="47" xr6:coauthVersionMax="47" xr10:uidLastSave="{00000000-0000-0000-0000-000000000000}"/>
  <bookViews>
    <workbookView xWindow="-110" yWindow="-110" windowWidth="19420" windowHeight="10300" xr2:uid="{7E3AABFC-F1F1-4FEE-82D0-8C2F34585CD1}"/>
  </bookViews>
  <sheets>
    <sheet name="Social Media Mo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188" i="1" l="1"/>
  <c r="C163" i="1"/>
  <c r="C162" i="1"/>
  <c r="C157" i="1"/>
  <c r="E190" i="1" s="1"/>
  <c r="C155" i="1"/>
  <c r="K148" i="1"/>
  <c r="K147" i="1"/>
  <c r="K146" i="1"/>
  <c r="K145" i="1"/>
  <c r="K144" i="1"/>
  <c r="K143" i="1"/>
  <c r="K142" i="1"/>
  <c r="K141" i="1"/>
  <c r="K140" i="1"/>
  <c r="K139" i="1"/>
  <c r="J139" i="1"/>
  <c r="J140" i="1" s="1"/>
  <c r="J141" i="1" s="1"/>
  <c r="J142" i="1" s="1"/>
  <c r="J143" i="1" s="1"/>
  <c r="J144" i="1" s="1"/>
  <c r="J145" i="1" s="1"/>
  <c r="J146" i="1" s="1"/>
  <c r="J147" i="1" s="1"/>
  <c r="J148" i="1" s="1"/>
  <c r="K138" i="1"/>
  <c r="K137" i="1"/>
  <c r="K136" i="1"/>
  <c r="K135" i="1"/>
  <c r="K134" i="1"/>
  <c r="K133" i="1"/>
  <c r="K132" i="1"/>
  <c r="J132" i="1"/>
  <c r="J133" i="1" s="1"/>
  <c r="J134" i="1" s="1"/>
  <c r="J135" i="1" s="1"/>
  <c r="J136" i="1" s="1"/>
  <c r="J137" i="1" s="1"/>
  <c r="J138" i="1" s="1"/>
  <c r="K131" i="1"/>
  <c r="K130" i="1"/>
  <c r="K129" i="1"/>
  <c r="K128" i="1"/>
  <c r="K127" i="1"/>
  <c r="K126" i="1"/>
  <c r="J126" i="1"/>
  <c r="J127" i="1" s="1"/>
  <c r="J128" i="1" s="1"/>
  <c r="J129" i="1" s="1"/>
  <c r="J130" i="1" s="1"/>
  <c r="J131" i="1" s="1"/>
  <c r="K125" i="1"/>
  <c r="J125" i="1"/>
  <c r="K124" i="1"/>
  <c r="K123" i="1"/>
  <c r="K122" i="1"/>
  <c r="K121" i="1"/>
  <c r="K120" i="1"/>
  <c r="K119" i="1"/>
  <c r="K118" i="1"/>
  <c r="K117" i="1"/>
  <c r="K116" i="1"/>
  <c r="K115" i="1"/>
  <c r="K114" i="1"/>
  <c r="J114" i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K113" i="1"/>
  <c r="K112" i="1"/>
  <c r="K111" i="1"/>
  <c r="K110" i="1"/>
  <c r="K109" i="1"/>
  <c r="K108" i="1"/>
  <c r="J108" i="1"/>
  <c r="J109" i="1" s="1"/>
  <c r="J110" i="1" s="1"/>
  <c r="J111" i="1" s="1"/>
  <c r="J112" i="1" s="1"/>
  <c r="J113" i="1" s="1"/>
  <c r="K107" i="1"/>
  <c r="J107" i="1"/>
  <c r="K106" i="1"/>
  <c r="K105" i="1"/>
  <c r="K104" i="1"/>
  <c r="K103" i="1"/>
  <c r="K102" i="1"/>
  <c r="K101" i="1"/>
  <c r="K100" i="1"/>
  <c r="J100" i="1"/>
  <c r="J101" i="1" s="1"/>
  <c r="J102" i="1" s="1"/>
  <c r="J103" i="1" s="1"/>
  <c r="J104" i="1" s="1"/>
  <c r="J105" i="1" s="1"/>
  <c r="J106" i="1" s="1"/>
  <c r="K99" i="1"/>
  <c r="K98" i="1"/>
  <c r="K97" i="1"/>
  <c r="K96" i="1"/>
  <c r="K95" i="1"/>
  <c r="K94" i="1"/>
  <c r="K93" i="1"/>
  <c r="K92" i="1"/>
  <c r="J92" i="1"/>
  <c r="J93" i="1" s="1"/>
  <c r="J94" i="1" s="1"/>
  <c r="J95" i="1" s="1"/>
  <c r="J96" i="1" s="1"/>
  <c r="J97" i="1" s="1"/>
  <c r="J98" i="1" s="1"/>
  <c r="J99" i="1" s="1"/>
  <c r="K91" i="1"/>
  <c r="K90" i="1"/>
  <c r="K89" i="1"/>
  <c r="K88" i="1"/>
  <c r="K87" i="1"/>
  <c r="K86" i="1"/>
  <c r="K85" i="1"/>
  <c r="K84" i="1"/>
  <c r="J84" i="1"/>
  <c r="J85" i="1" s="1"/>
  <c r="J86" i="1" s="1"/>
  <c r="J87" i="1" s="1"/>
  <c r="J88" i="1" s="1"/>
  <c r="J89" i="1" s="1"/>
  <c r="J90" i="1" s="1"/>
  <c r="J91" i="1" s="1"/>
  <c r="K83" i="1"/>
  <c r="K82" i="1"/>
  <c r="K81" i="1"/>
  <c r="K80" i="1"/>
  <c r="K79" i="1"/>
  <c r="K78" i="1"/>
  <c r="K77" i="1"/>
  <c r="K76" i="1"/>
  <c r="K75" i="1"/>
  <c r="K74" i="1"/>
  <c r="J74" i="1"/>
  <c r="J75" i="1" s="1"/>
  <c r="J76" i="1" s="1"/>
  <c r="J77" i="1" s="1"/>
  <c r="J78" i="1" s="1"/>
  <c r="J79" i="1" s="1"/>
  <c r="J80" i="1" s="1"/>
  <c r="J81" i="1" s="1"/>
  <c r="J82" i="1" s="1"/>
  <c r="J83" i="1" s="1"/>
  <c r="K73" i="1"/>
  <c r="K72" i="1"/>
  <c r="K71" i="1"/>
  <c r="K70" i="1"/>
  <c r="K69" i="1"/>
  <c r="K68" i="1"/>
  <c r="K67" i="1"/>
  <c r="K66" i="1"/>
  <c r="J66" i="1"/>
  <c r="J67" i="1" s="1"/>
  <c r="J68" i="1" s="1"/>
  <c r="J69" i="1" s="1"/>
  <c r="J70" i="1" s="1"/>
  <c r="J71" i="1" s="1"/>
  <c r="J72" i="1" s="1"/>
  <c r="J73" i="1" s="1"/>
  <c r="K65" i="1"/>
  <c r="J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J52" i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K51" i="1"/>
  <c r="J51" i="1"/>
  <c r="K50" i="1"/>
  <c r="K49" i="1"/>
  <c r="K48" i="1"/>
  <c r="K47" i="1"/>
  <c r="K46" i="1"/>
  <c r="K45" i="1"/>
  <c r="K44" i="1"/>
  <c r="K43" i="1"/>
  <c r="K42" i="1"/>
  <c r="J42" i="1"/>
  <c r="J43" i="1" s="1"/>
  <c r="J44" i="1" s="1"/>
  <c r="J45" i="1" s="1"/>
  <c r="J46" i="1" s="1"/>
  <c r="J47" i="1" s="1"/>
  <c r="J48" i="1" s="1"/>
  <c r="J49" i="1" s="1"/>
  <c r="J50" i="1" s="1"/>
  <c r="K41" i="1"/>
  <c r="J41" i="1"/>
  <c r="K40" i="1"/>
  <c r="K39" i="1"/>
  <c r="K38" i="1"/>
  <c r="K37" i="1"/>
  <c r="K36" i="1"/>
  <c r="K35" i="1"/>
  <c r="K34" i="1"/>
  <c r="K33" i="1"/>
  <c r="K32" i="1"/>
  <c r="K31" i="1"/>
  <c r="K30" i="1"/>
  <c r="J30" i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K29" i="1"/>
  <c r="J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J16" i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K15" i="1"/>
  <c r="J15" i="1"/>
  <c r="K14" i="1"/>
  <c r="K13" i="1"/>
  <c r="K12" i="1"/>
  <c r="K11" i="1"/>
  <c r="K10" i="1"/>
  <c r="K9" i="1"/>
  <c r="K8" i="1"/>
  <c r="K7" i="1"/>
  <c r="K6" i="1"/>
  <c r="J6" i="1"/>
  <c r="J7" i="1" s="1"/>
  <c r="K5" i="1"/>
  <c r="C161" i="1" s="1"/>
  <c r="J5" i="1"/>
  <c r="D174" i="1" l="1"/>
  <c r="J8" i="1"/>
  <c r="J9" i="1" s="1"/>
  <c r="J10" i="1" s="1"/>
  <c r="J11" i="1" s="1"/>
  <c r="J12" i="1" s="1"/>
  <c r="J13" i="1" s="1"/>
  <c r="J14" i="1" s="1"/>
  <c r="D172" i="1" s="1"/>
  <c r="C160" i="1"/>
  <c r="D178" i="1"/>
  <c r="D173" i="1"/>
  <c r="E189" i="1"/>
  <c r="D176" i="1"/>
  <c r="D177" i="1"/>
  <c r="D170" i="1" l="1"/>
  <c r="D181" i="1"/>
  <c r="D169" i="1"/>
  <c r="D180" i="1"/>
  <c r="D175" i="1"/>
  <c r="D179" i="1"/>
  <c r="D171" i="1"/>
  <c r="C165" i="1"/>
  <c r="C164" i="1"/>
  <c r="D182" i="1"/>
  <c r="D183" i="1"/>
  <c r="C189" i="1" s="1"/>
  <c r="D189" i="1" s="1"/>
  <c r="C188" i="1" l="1"/>
  <c r="D184" i="1"/>
  <c r="E172" i="1" l="1"/>
  <c r="E178" i="1"/>
  <c r="E176" i="1"/>
  <c r="E174" i="1"/>
  <c r="E173" i="1"/>
  <c r="E177" i="1"/>
  <c r="E170" i="1"/>
  <c r="E183" i="1"/>
  <c r="E182" i="1"/>
  <c r="E181" i="1"/>
  <c r="E180" i="1"/>
  <c r="E179" i="1"/>
  <c r="C190" i="1"/>
  <c r="D188" i="1"/>
  <c r="D190" i="1" s="1"/>
  <c r="E169" i="1"/>
  <c r="E175" i="1"/>
  <c r="E171" i="1"/>
  <c r="E184" i="1" l="1"/>
</calcChain>
</file>

<file path=xl/sharedStrings.xml><?xml version="1.0" encoding="utf-8"?>
<sst xmlns="http://schemas.openxmlformats.org/spreadsheetml/2006/main" count="844" uniqueCount="351">
  <si>
    <t>Social Media Module — Feature Completion &amp; Delivery Schedule</t>
  </si>
  <si>
    <t>Standalone module plan • Target timeline: 2 months</t>
  </si>
  <si>
    <t>Module</t>
  </si>
  <si>
    <t>Section / Category</t>
  </si>
  <si>
    <t>Feature</t>
  </si>
  <si>
    <t>Mobile %</t>
  </si>
  <si>
    <t>Mobile Status</t>
  </si>
  <si>
    <t>Backend %</t>
  </si>
  <si>
    <t>Backend Status</t>
  </si>
  <si>
    <t>Plain-English Notes</t>
  </si>
  <si>
    <t>Days to Finish</t>
  </si>
  <si>
    <t>Section (filled)</t>
  </si>
  <si>
    <t>Work Days (numeric)</t>
  </si>
  <si>
    <t>SOCIAL MEDIA</t>
  </si>
  <si>
    <t>User Account &amp; Profile</t>
  </si>
  <si>
    <t>Sign Up &amp; Login (Email, Phone, Google)</t>
  </si>
  <si>
    <t>Complete</t>
  </si>
  <si>
    <t>Login and registration fully work across all three methods.</t>
  </si>
  <si>
    <t>Done</t>
  </si>
  <si>
    <t>Two-Factor Authentication (extra login security)</t>
  </si>
  <si>
    <t>Not started</t>
  </si>
  <si>
    <t>Not built yet. Users have no second step for securing their account.</t>
  </si>
  <si>
    <t>3 working days</t>
  </si>
  <si>
    <t>Profile Picture Upload</t>
  </si>
  <si>
    <t>Users can upload and update their profile photo.</t>
  </si>
  <si>
    <t>Bio, Gender, Location &amp; Birthday</t>
  </si>
  <si>
    <t>Profile info screen works. Minor tweaks needed.</t>
  </si>
  <si>
    <t>1 working day</t>
  </si>
  <si>
    <t>User Interests &amp; Hobbies Selection</t>
  </si>
  <si>
    <t>Interest selection after sign-up is done.</t>
  </si>
  <si>
    <t>Follow / Unfollow &amp; Friends System</t>
  </si>
  <si>
    <t>Following and followers work. Small polish needed.</t>
  </si>
  <si>
    <t>Verified Badge (blue tick)</t>
  </si>
  <si>
    <t>In progress</t>
  </si>
  <si>
    <t>Badge exists but the full verification process is not complete.</t>
  </si>
  <si>
    <t>Privacy Settings (public, private, custom)</t>
  </si>
  <si>
    <t>Just started</t>
  </si>
  <si>
    <t>Privacy screen does not exist in the app yet.</t>
  </si>
  <si>
    <t>4 working days</t>
  </si>
  <si>
    <t>Block &amp; Report Users</t>
  </si>
  <si>
    <t>Buttons exist but the full block/report flow needs finishing.</t>
  </si>
  <si>
    <t>2 working days</t>
  </si>
  <si>
    <t>Profile QR Code</t>
  </si>
  <si>
    <t>Not built. Users cannot share their profile via QR code.</t>
  </si>
  <si>
    <t>Post-Launch</t>
  </si>
  <si>
    <t>Social Feed (Timeline)</t>
  </si>
  <si>
    <t>Scrolling Home Feed</t>
  </si>
  <si>
    <t>Main home feed works well. Users can scroll through posts.</t>
  </si>
  <si>
    <t>Image Posts</t>
  </si>
  <si>
    <t>Image posts in the feed are fully working.</t>
  </si>
  <si>
    <t>Video Posts</t>
  </si>
  <si>
    <t>Mostly done</t>
  </si>
  <si>
    <t>Video posts display and play correctly. Minor improvements needed.</t>
  </si>
  <si>
    <t>Text / Status Posts</t>
  </si>
  <si>
    <t>Text-only posts work in the feed.</t>
  </si>
  <si>
    <t>Story Feed (24-hour content)</t>
  </si>
  <si>
    <t>Story bar at top of feed works.</t>
  </si>
  <si>
    <t>Reels / Short Videos</t>
  </si>
  <si>
    <t>Short video reels screen works.</t>
  </si>
  <si>
    <t>Carousels (multiple photos in one post)</t>
  </si>
  <si>
    <t>Multi-image posts exist but the swipe experience needs work.</t>
  </si>
  <si>
    <t>Polls in Posts</t>
  </si>
  <si>
    <t>Not built. Users cannot create polls.</t>
  </si>
  <si>
    <t>Check-Ins &amp; Location Tagging</t>
  </si>
  <si>
    <t>Started but location cannot be tagged on posts yet.</t>
  </si>
  <si>
    <t>Tag Friends in Posts</t>
  </si>
  <si>
    <t>Tagging works partially. Needs completion.</t>
  </si>
  <si>
    <t>Hashtags</t>
  </si>
  <si>
    <t>Hashtags display but searching by hashtag is incomplete.</t>
  </si>
  <si>
    <t>Trending Section</t>
  </si>
  <si>
    <t>Not working yet. No trending topics or content shown.</t>
  </si>
  <si>
    <t>"For You" Personalised Feed</t>
  </si>
  <si>
    <t>Not built. Requires a recommendation system to be developed.</t>
  </si>
  <si>
    <t>8 working days</t>
  </si>
  <si>
    <t>Recommended Users &amp; Posts</t>
  </si>
  <si>
    <t>Very basic suggestions. Needs proper logic.</t>
  </si>
  <si>
    <t>Posting &amp; Content Creation</t>
  </si>
  <si>
    <t>Take Photo or Video from App Camera</t>
  </si>
  <si>
    <t>Camera capture for posts and stories works.</t>
  </si>
  <si>
    <t>Camera Filters &amp; Beauty Effects</t>
  </si>
  <si>
    <t>Very early stage. Proper AR filters not done yet.</t>
  </si>
  <si>
    <t>7 working days</t>
  </si>
  <si>
    <t>Upload Multiple Photos / Videos</t>
  </si>
  <si>
    <t>Multiple file upload works.</t>
  </si>
  <si>
    <t>Save Post as Draft</t>
  </si>
  <si>
    <t>Draft saving is unreliable. Needs fixing.</t>
  </si>
  <si>
    <t>Edit or Delete a Post</t>
  </si>
  <si>
    <t>Delete works. Post editing needs to be completed.</t>
  </si>
  <si>
    <t>Captions with Emojis</t>
  </si>
  <si>
    <t>Caption input with emoji picker works.</t>
  </si>
  <si>
    <t>Add Music to Videos or Stories</t>
  </si>
  <si>
    <t>Music can be added. Library is limited.</t>
  </si>
  <si>
    <t>AI Auto-Caption Suggestion</t>
  </si>
  <si>
    <t>Not built. Would require AI integration.</t>
  </si>
  <si>
    <t>Start a Live Stream</t>
  </si>
  <si>
    <t>Going live works using the Agora system.</t>
  </si>
  <si>
    <t>Co-Host a Live Stream</t>
  </si>
  <si>
    <t>Co-host invite screen exists but the full flow is incomplete.</t>
  </si>
  <si>
    <t>Viewers Join Live as a Guest</t>
  </si>
  <si>
    <t>Guest joining is partially done.</t>
  </si>
  <si>
    <t>Send Gift Coins During Live</t>
  </si>
  <si>
    <t>Coin gifting partially works during live streams.</t>
  </si>
  <si>
    <t>Engagement</t>
  </si>
  <si>
    <t>Like &amp; React to Posts</t>
  </si>
  <si>
    <t>Likes and emoji reactions on posts work.</t>
  </si>
  <si>
    <t>Comment on Posts</t>
  </si>
  <si>
    <t>Users can comment on posts.</t>
  </si>
  <si>
    <t>Reply to Comments (threaded)</t>
  </si>
  <si>
    <t>Replies partially work. Threading needs improvement.</t>
  </si>
  <si>
    <t>Heart / Favourite a Comment</t>
  </si>
  <si>
    <t>Button exists but saving does not always work.</t>
  </si>
  <si>
    <t>Share Posts</t>
  </si>
  <si>
    <t>Sharing within app is partial. Sharing to other apps needs work.</t>
  </si>
  <si>
    <t>Save / Bookmark Posts</t>
  </si>
  <si>
    <t>Users can save posts. Saved posts screen exists.</t>
  </si>
  <si>
    <t>Follow &amp; Unfollow</t>
  </si>
  <si>
    <t>Works well.</t>
  </si>
  <si>
    <t>Push Notifications (likes, comments, follows)</t>
  </si>
  <si>
    <t>Notification system is set up but not reliably delivering yet.</t>
  </si>
  <si>
    <t>5 working days</t>
  </si>
  <si>
    <t>Mention Users (@username)</t>
  </si>
  <si>
    <t>Mentioning users in text partially works.</t>
  </si>
  <si>
    <t>Tag Users in Photos</t>
  </si>
  <si>
    <t>Photo tagging is not complete.</t>
  </si>
  <si>
    <t>Messaging (Chat)</t>
  </si>
  <si>
    <t>One-to-One Chat</t>
  </si>
  <si>
    <t>Private chat between two users works well.</t>
  </si>
  <si>
    <t>Group Chat</t>
  </si>
  <si>
    <t>Group chats work. Small improvements needed.</t>
  </si>
  <si>
    <t>Voice Messages</t>
  </si>
  <si>
    <t>Voice recording and sending works.</t>
  </si>
  <si>
    <t>Send Videos in Chat</t>
  </si>
  <si>
    <t>Video sending works but can be slow on large files.</t>
  </si>
  <si>
    <t>File Sharing (PDFs, Images, Docs)</t>
  </si>
  <si>
    <t>Basic file sharing works. Not all formats supported.</t>
  </si>
  <si>
    <t>Disappearing Messages</t>
  </si>
  <si>
    <t>Not built. Messages cannot be set to auto-delete.</t>
  </si>
  <si>
    <t>Stickers, GIFs &amp; Emojis</t>
  </si>
  <si>
    <t>Emojis work. GIFs and sticker packs are incomplete.</t>
  </si>
  <si>
    <t>Voice &amp; Video Calling</t>
  </si>
  <si>
    <t>Not built yet. This is a key missing feature.</t>
  </si>
  <si>
    <t>Group Video Calling</t>
  </si>
  <si>
    <t>Not started.</t>
  </si>
  <si>
    <t>React to Messages</t>
  </si>
  <si>
    <t>Message reactions are partially done.</t>
  </si>
  <si>
    <t>Edit &amp; Delete Messages</t>
  </si>
  <si>
    <t>Delete works. Edit is partial.</t>
  </si>
  <si>
    <t>Read Receipts &amp; Typing Indicator</t>
  </si>
  <si>
    <t>Typing indicator works. Read receipts are partial.</t>
  </si>
  <si>
    <t>Encrypted Messages</t>
  </si>
  <si>
    <t>Not built. Messages are not encrypted.</t>
  </si>
  <si>
    <t>6 working days</t>
  </si>
  <si>
    <t>Chat Themes &amp; Colours</t>
  </si>
  <si>
    <t>Not started. Users cannot customise chat appearance.</t>
  </si>
  <si>
    <t>Live Streaming</t>
  </si>
  <si>
    <t>Start a Live Broadcast</t>
  </si>
  <si>
    <t>Hosting a live stream works.</t>
  </si>
  <si>
    <t>Invite a Co-Host</t>
  </si>
  <si>
    <t>Co-host flow is partial.</t>
  </si>
  <si>
    <t>Viewers Join Live as Guest</t>
  </si>
  <si>
    <t>Partial.</t>
  </si>
  <si>
    <t>Live Chat During Stream</t>
  </si>
  <si>
    <t>Viewers can chat while watching a live stream.</t>
  </si>
  <si>
    <t>Coin gifting partially works.</t>
  </si>
  <si>
    <t>Live Reactions (floating emoji animations)</t>
  </si>
  <si>
    <t>Basic reaction animation is partial.</t>
  </si>
  <si>
    <t>Moderation Tools (remove viewers, mute)</t>
  </si>
  <si>
    <t>Not in the app. Some backend support only.</t>
  </si>
  <si>
    <t>Live Filters &amp; Effects</t>
  </si>
  <si>
    <t>Not built.</t>
  </si>
  <si>
    <t>Live Shopping (sell during stream)</t>
  </si>
  <si>
    <t>Stories (24-hour Content)</t>
  </si>
  <si>
    <t>Photo Stories</t>
  </si>
  <si>
    <t>Photo stories work.</t>
  </si>
  <si>
    <t>Video Stories</t>
  </si>
  <si>
    <t>Video stories work.</t>
  </si>
  <si>
    <t>Music Stories</t>
  </si>
  <si>
    <t>Adding music to stories is partially done.</t>
  </si>
  <si>
    <t>Text Stories</t>
  </si>
  <si>
    <t>Text stories work.</t>
  </si>
  <si>
    <t>Story Filters</t>
  </si>
  <si>
    <t>Very basic. Proper filter selection is not done.</t>
  </si>
  <si>
    <t>Story Stickers (Polls, Questions, Quizzes)</t>
  </si>
  <si>
    <t>Mention Users in Stories</t>
  </si>
  <si>
    <t>Swipe-Up Link (for businesses)</t>
  </si>
  <si>
    <t>Close Friends Story</t>
  </si>
  <si>
    <t>Story Highlights on Profile</t>
  </si>
  <si>
    <t>Cannot save stories as highlights on profile.</t>
  </si>
  <si>
    <t>Groups &amp; Community</t>
  </si>
  <si>
    <t>Create Public or Private Groups</t>
  </si>
  <si>
    <t>Group creation works. Public/private setting needs refinement.</t>
  </si>
  <si>
    <t>Post Inside a Group</t>
  </si>
  <si>
    <t>Group posts are partially working.</t>
  </si>
  <si>
    <t>Group Admins &amp; Moderators</t>
  </si>
  <si>
    <t>Admin role exists. Full moderator tools are not done.</t>
  </si>
  <si>
    <t>Group Rules</t>
  </si>
  <si>
    <t>Group Events</t>
  </si>
  <si>
    <t>Group messaging works well.</t>
  </si>
  <si>
    <t>Approve / Reject Member Requests</t>
  </si>
  <si>
    <t>Group Insights (stats for group admin)</t>
  </si>
  <si>
    <t>Pages / Creator / Business</t>
  </si>
  <si>
    <t>Upgrade Profile to Creator or Business</t>
  </si>
  <si>
    <t>Not available in the app.</t>
  </si>
  <si>
    <t>Analytics (views, reach, impressions)</t>
  </si>
  <si>
    <t>Not built. No statistics screen for creators.</t>
  </si>
  <si>
    <t>Ads Management Panel</t>
  </si>
  <si>
    <t>Not in the app. Basic backend routes only.</t>
  </si>
  <si>
    <t>Monetisation (subscriptions, promotions)</t>
  </si>
  <si>
    <t>Not built in the app.</t>
  </si>
  <si>
    <t>Schedule Posts</t>
  </si>
  <si>
    <t>Boost / Promote a Post</t>
  </si>
  <si>
    <t>Not in the app.</t>
  </si>
  <si>
    <t>Creator Marketplace (brand deals)</t>
  </si>
  <si>
    <t>Shop Tab (linked to e-commerce)</t>
  </si>
  <si>
    <t>Discovery &amp; Search</t>
  </si>
  <si>
    <t>Search for Users</t>
  </si>
  <si>
    <t>User search works.</t>
  </si>
  <si>
    <t>Search for Posts &amp; Content</t>
  </si>
  <si>
    <t>Basic search works. Full content search needs improvement.</t>
  </si>
  <si>
    <t>Search Hashtags</t>
  </si>
  <si>
    <t>Trending Topics</t>
  </si>
  <si>
    <t>Not functional yet.</t>
  </si>
  <si>
    <t>Discover Creators</t>
  </si>
  <si>
    <t>Partial suggestions exist.</t>
  </si>
  <si>
    <t>Discover Videos</t>
  </si>
  <si>
    <t>Videos discovery screen is partial.</t>
  </si>
  <si>
    <t>Location-Based Discovery</t>
  </si>
  <si>
    <t>Not working yet.</t>
  </si>
  <si>
    <t>Notifications</t>
  </si>
  <si>
    <t>Notifications for Likes, Comments &amp; Follows</t>
  </si>
  <si>
    <t>System is set up but notifications are not reliably delivered.</t>
  </si>
  <si>
    <t>Mention &amp; Tag Notifications</t>
  </si>
  <si>
    <t>Not working in the app yet.</t>
  </si>
  <si>
    <t>Story View Notifications</t>
  </si>
  <si>
    <t>Group &amp; Page Notifications</t>
  </si>
  <si>
    <t>Offline Message Notifications</t>
  </si>
  <si>
    <t>Users often miss messages when they are offline.</t>
  </si>
  <si>
    <t>Live Stream Invite Notification</t>
  </si>
  <si>
    <t>Custom Notification Settings</t>
  </si>
  <si>
    <t>Users cannot choose what notifications they receive.</t>
  </si>
  <si>
    <t>Safety &amp; Privacy</t>
  </si>
  <si>
    <t>Block &amp; Report a User</t>
  </si>
  <si>
    <t>Buttons exist. Full flow needs finishing.</t>
  </si>
  <si>
    <t>Report a Post</t>
  </si>
  <si>
    <t>Hide a Post</t>
  </si>
  <si>
    <t>Restrict a User (limit interactions)</t>
  </si>
  <si>
    <t>AI Content Moderation (auto-flag bad content)</t>
  </si>
  <si>
    <t>Age Restrictions</t>
  </si>
  <si>
    <t>Spam Detection</t>
  </si>
  <si>
    <t>Family / Kids Mode</t>
  </si>
  <si>
    <t>Post Visibility Controls</t>
  </si>
  <si>
    <t>Profile Privacy (public/private)</t>
  </si>
  <si>
    <t>Privacy screen not built in the app.</t>
  </si>
  <si>
    <t>Login Alerts</t>
  </si>
  <si>
    <t>Admin Panel</t>
  </si>
  <si>
    <t>Admin Screen — Manage All Users</t>
  </si>
  <si>
    <t>No admin screen in the app. Backend only.</t>
  </si>
  <si>
    <t>10 working days</t>
  </si>
  <si>
    <t>Admin — Ban &amp; Suspend Accounts</t>
  </si>
  <si>
    <t>Backend only. No admin UI.</t>
  </si>
  <si>
    <t>Admin — Content Moderation</t>
  </si>
  <si>
    <t>Backend only.</t>
  </si>
  <si>
    <t>Admin — Manage Ads &amp; Promotions</t>
  </si>
  <si>
    <t>Admin — Analytics Dashboard</t>
  </si>
  <si>
    <t>Very early stage.</t>
  </si>
  <si>
    <t>Admin — Manage Trending &amp; Hashtags</t>
  </si>
  <si>
    <t>Admin — Manage Categories</t>
  </si>
  <si>
    <t>Monetisation</t>
  </si>
  <si>
    <t>Creator Earnings System</t>
  </si>
  <si>
    <t>Gift Coins &amp; Virtual Items</t>
  </si>
  <si>
    <t>Coin purchase and gifting is partially working.</t>
  </si>
  <si>
    <t>Live Stream Gifting</t>
  </si>
  <si>
    <t>Coin gifting during live is partial.</t>
  </si>
  <si>
    <t>Ad Revenue Sharing</t>
  </si>
  <si>
    <t>Paid Subscription Tiers</t>
  </si>
  <si>
    <t>Fan Subscriptions</t>
  </si>
  <si>
    <t>In-App Coin Purchase</t>
  </si>
  <si>
    <t>Users can buy coin packages via Stripe.</t>
  </si>
  <si>
    <t>Advanced / Optional Features</t>
  </si>
  <si>
    <t>Video Editing Suite (trim, filters, text)</t>
  </si>
  <si>
    <t>Basic recording works. Advanced editing still in development.</t>
  </si>
  <si>
    <t>Music Library Integration</t>
  </si>
  <si>
    <t>Music can be added to content. Library is limited.</t>
  </si>
  <si>
    <t>Dark Mode</t>
  </si>
  <si>
    <t>Not available. App is light mode only.</t>
  </si>
  <si>
    <t>Multi-Language Support (Arabic / English)</t>
  </si>
  <si>
    <t>Translation files exist. Not fully applied across the app.</t>
  </si>
  <si>
    <t>AI Content Recommendation Engine</t>
  </si>
  <si>
    <t>Not started. Complex feature requiring AI development.</t>
  </si>
  <si>
    <t>AI Face Filters / AR Effects</t>
  </si>
  <si>
    <t>AI Auto-Tagging</t>
  </si>
  <si>
    <t>NSFW / Bad Content Auto-Detection</t>
  </si>
  <si>
    <t>Nearby Users</t>
  </si>
  <si>
    <t>Cloud Storage Integration (AWS)</t>
  </si>
  <si>
    <t>Backend already uses AWS S3 for storing media files.</t>
  </si>
  <si>
    <t>2-MONTH DELIVERY PLAN — SOCIAL MEDIA MODULE</t>
  </si>
  <si>
    <t>Assumptions</t>
  </si>
  <si>
    <t>Working days per month (Mon–Sat)</t>
  </si>
  <si>
    <t>Timeline (months)</t>
  </si>
  <si>
    <t>Total working days available</t>
  </si>
  <si>
    <t>Project start date</t>
  </si>
  <si>
    <t>Target completion date</t>
  </si>
  <si>
    <t>Effort Summary</t>
  </si>
  <si>
    <t>Total core work (person-days)</t>
  </si>
  <si>
    <t>Features requiring work</t>
  </si>
  <si>
    <t>Features already complete</t>
  </si>
  <si>
    <t>Post-Launch features (excluded from the 2 months)</t>
  </si>
  <si>
    <t>Developers needed in parallel to hit 2 months</t>
  </si>
  <si>
    <t>Work days per developer per month</t>
  </si>
  <si>
    <t>Phase Plan by Section</t>
  </si>
  <si>
    <t>Phase</t>
  </si>
  <si>
    <t>Work Days</t>
  </si>
  <si>
    <t>Share of Total</t>
  </si>
  <si>
    <t>Month 1</t>
  </si>
  <si>
    <t>Month 2</t>
  </si>
  <si>
    <t>TOTAL</t>
  </si>
  <si>
    <t>Monthly Resourcing</t>
  </si>
  <si>
    <t>Developers Needed</t>
  </si>
  <si>
    <t>Window</t>
  </si>
  <si>
    <t>Note: Post-Launch items are excluded from the 2-month scope. The 2-month target is achievable only with the parallel developer count shown above; sections are grouped so core social features (feed, posting, engagement, chat, stories, live) land in Month 1 and community, creator, discovery, safety, admin and monetisation land in Month 2.</t>
  </si>
  <si>
    <t>LEGEND — HOW TO READ THIS SHEET</t>
  </si>
  <si>
    <t>COLOUR / SYMBOL</t>
  </si>
  <si>
    <t>PERCENTAGE</t>
  </si>
  <si>
    <t>WHAT IT MEANS</t>
  </si>
  <si>
    <t>Complete (Green)</t>
  </si>
  <si>
    <t>80% – 100%</t>
  </si>
  <si>
    <t>This feature is built and working. Ready to use.</t>
  </si>
  <si>
    <t>Mostly Done (Blue)</t>
  </si>
  <si>
    <t>60% – 79%</t>
  </si>
  <si>
    <t>Built but needs a few finishing touches.</t>
  </si>
  <si>
    <t>In Progress (Yellow)</t>
  </si>
  <si>
    <t>30% – 59%</t>
  </si>
  <si>
    <t>Development started but not usable yet.</t>
  </si>
  <si>
    <t>Just Started (Red)</t>
  </si>
  <si>
    <t>1% – 29%</t>
  </si>
  <si>
    <t>Very early stage. Do not expect this to work.</t>
  </si>
  <si>
    <t>Not Started (Grey)</t>
  </si>
  <si>
    <t>Has not been touched yet.</t>
  </si>
  <si>
    <t>Done (Days column)</t>
  </si>
  <si>
    <t>0 days needed</t>
  </si>
  <si>
    <t>Feature is complete. No more work required.</t>
  </si>
  <si>
    <t>Post-Launch (Purple)</t>
  </si>
  <si>
    <t>—</t>
  </si>
  <si>
    <t>Advanced / optional feature. Planned after October launch.</t>
  </si>
  <si>
    <t>Number (e.g. "4 working days")</t>
  </si>
  <si>
    <t>Estimated effort to finish this feature.</t>
  </si>
  <si>
    <t>COLUMN</t>
  </si>
  <si>
    <t>MEANING</t>
  </si>
  <si>
    <t>How complete the feature looks &amp; works on the user's phone.</t>
  </si>
  <si>
    <t>How complete the server / data side is (the "engine" behind the app).</t>
  </si>
  <si>
    <t>Estimated working days a developer needs to complete this feature.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</si>
</sst>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FFFFFF"/>
      <name val="Calibri"/>
    </font>
    <font>
      <b/>
      <sz val="10"/>
      <color rgb="FFFFFFFF"/>
      <name val="Calibri"/>
    </font>
    <font>
      <b/>
      <sz val="12"/>
      <color rgb="FFFFFFFF"/>
      <name val="Calibri"/>
    </font>
    <font>
      <b/>
      <sz val="10"/>
      <color rgb="FF1A1A2E"/>
      <name val="Calibri"/>
    </font>
    <font>
      <sz val="10"/>
      <color rgb="FF1A1A2E"/>
      <name val="Calibri"/>
    </font>
    <font>
      <b/>
      <sz val="11"/>
      <color rgb="FF10B981"/>
      <name val="Calibri"/>
    </font>
    <font>
      <sz val="10"/>
      <color rgb="FF10B981"/>
      <name val="Calibri"/>
    </font>
    <font>
      <sz val="10"/>
      <color rgb="FF475569"/>
      <name val="Calibri"/>
    </font>
    <font>
      <b/>
      <sz val="10"/>
      <color rgb="FF059669"/>
      <name val="Calibri"/>
    </font>
    <font>
      <b/>
      <sz val="11"/>
      <color rgb="FFB0B8C4"/>
      <name val="Calibri"/>
    </font>
    <font>
      <sz val="10"/>
      <color rgb="FFB0B8C4"/>
      <name val="Calibri"/>
    </font>
    <font>
      <b/>
      <sz val="11"/>
      <color rgb="FFF59E0B"/>
      <name val="Calibri"/>
    </font>
    <font>
      <sz val="10"/>
      <color rgb="FFF59E0B"/>
      <name val="Calibri"/>
    </font>
    <font>
      <b/>
      <sz val="11"/>
      <color rgb="FFEF4444"/>
      <name val="Calibri"/>
    </font>
    <font>
      <sz val="10"/>
      <color rgb="FFEF4444"/>
      <name val="Calibri"/>
    </font>
    <font>
      <b/>
      <sz val="10"/>
      <color rgb="FF7C3AED"/>
      <name val="Calibri"/>
    </font>
    <font>
      <b/>
      <sz val="11"/>
      <color rgb="FF3B82F6"/>
      <name val="Calibri"/>
    </font>
    <font>
      <sz val="10"/>
      <color rgb="FF3B82F6"/>
      <name val="Calibri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475569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F3460"/>
      </patternFill>
    </fill>
    <fill>
      <patternFill patternType="solid">
        <fgColor rgb="FF1A1A2E"/>
      </patternFill>
    </fill>
    <fill>
      <patternFill patternType="solid">
        <fgColor rgb="FFE94560"/>
      </patternFill>
    </fill>
    <fill>
      <patternFill patternType="solid">
        <fgColor rgb="FFE8EEFF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FEDD5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FEE2E2"/>
      </patternFill>
    </fill>
    <fill>
      <patternFill patternType="solid">
        <fgColor rgb="FF0F3460"/>
        <bgColor indexed="64"/>
      </patternFill>
    </fill>
    <fill>
      <patternFill patternType="solid">
        <fgColor rgb="FFE945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E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9" fontId="8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9" fontId="12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9" fontId="14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vertical="center" wrapText="1"/>
    </xf>
    <xf numFmtId="9" fontId="16" fillId="6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vertical="center" wrapText="1"/>
    </xf>
    <xf numFmtId="0" fontId="18" fillId="11" borderId="1" xfId="0" applyFont="1" applyFill="1" applyBorder="1" applyAlignment="1">
      <alignment horizontal="center" vertical="center" wrapText="1"/>
    </xf>
    <xf numFmtId="9" fontId="19" fillId="6" borderId="1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21" fillId="13" borderId="2" xfId="0" applyFont="1" applyFill="1" applyBorder="1"/>
    <xf numFmtId="0" fontId="0" fillId="0" borderId="2" xfId="0" applyBorder="1"/>
    <xf numFmtId="0" fontId="22" fillId="14" borderId="0" xfId="0" applyFont="1" applyFill="1"/>
    <xf numFmtId="0" fontId="23" fillId="15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3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15" borderId="0" xfId="0" applyFont="1" applyFill="1" applyAlignment="1">
      <alignment horizontal="center"/>
    </xf>
    <xf numFmtId="0" fontId="24" fillId="13" borderId="1" xfId="0" applyFont="1" applyFill="1" applyBorder="1"/>
    <xf numFmtId="0" fontId="24" fillId="1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0" fontId="1" fillId="16" borderId="1" xfId="0" applyFont="1" applyFill="1" applyBorder="1"/>
    <xf numFmtId="0" fontId="1" fillId="16" borderId="1" xfId="0" applyFont="1" applyFill="1" applyBorder="1" applyAlignment="1">
      <alignment horizontal="center"/>
    </xf>
    <xf numFmtId="165" fontId="1" fillId="16" borderId="1" xfId="0" applyNumberFormat="1" applyFont="1" applyFill="1" applyBorder="1"/>
    <xf numFmtId="0" fontId="24" fillId="13" borderId="0" xfId="0" applyFont="1" applyFill="1"/>
    <xf numFmtId="0" fontId="24" fillId="1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16" borderId="0" xfId="0" applyFont="1" applyFill="1"/>
    <xf numFmtId="0" fontId="1" fillId="16" borderId="0" xfId="0" applyFont="1" applyFill="1" applyAlignment="1">
      <alignment horizontal="center"/>
    </xf>
    <xf numFmtId="0" fontId="1" fillId="16" borderId="0" xfId="0" applyFont="1" applyFill="1" applyAlignment="1">
      <alignment horizontal="left"/>
    </xf>
    <xf numFmtId="0" fontId="25" fillId="0" borderId="0" xfId="0" applyFont="1"/>
    <xf numFmtId="0" fontId="21" fillId="13" borderId="0" xfId="0" applyFont="1" applyFill="1"/>
    <xf numFmtId="0" fontId="4" fillId="4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49" fontId="7" fillId="7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88B2-1123-46D9-B1F5-0D73C4C0E8DC}">
  <sheetPr>
    <pageSetUpPr fitToPage="1"/>
  </sheetPr>
  <dimension ref="A1:K210"/>
  <sheetViews>
    <sheetView tabSelected="1" workbookViewId="0">
      <pane ySplit="3" topLeftCell="A206" activePane="bottomLeft" state="frozen"/>
      <selection pane="bottomLeft" activeCell="C145" sqref="C145"/>
    </sheetView>
  </sheetViews>
  <sheetFormatPr defaultRowHeight="14.5" x14ac:dyDescent="0.35"/>
  <cols>
    <col min="1" max="1" width="18" customWidth="1"/>
    <col min="2" max="2" width="26" customWidth="1"/>
    <col min="3" max="3" width="40" customWidth="1"/>
    <col min="4" max="4" width="12" customWidth="1"/>
    <col min="5" max="5" width="27.26953125" customWidth="1"/>
    <col min="6" max="6" width="12" customWidth="1"/>
    <col min="7" max="7" width="18" customWidth="1"/>
    <col min="8" max="8" width="46" customWidth="1"/>
    <col min="9" max="9" width="16" customWidth="1"/>
    <col min="10" max="11" width="14.54296875" customWidth="1"/>
  </cols>
  <sheetData>
    <row r="1" spans="1:11" ht="36" customHeight="1" x14ac:dyDescent="0.35">
      <c r="A1" s="52" t="s">
        <v>0</v>
      </c>
      <c r="B1" s="52"/>
      <c r="C1" s="52"/>
      <c r="D1" s="52"/>
      <c r="E1" s="52"/>
      <c r="F1" s="52"/>
      <c r="G1" s="52"/>
      <c r="H1" s="52"/>
      <c r="I1" s="52"/>
    </row>
    <row r="2" spans="1:11" ht="20" customHeight="1" x14ac:dyDescent="0.35">
      <c r="A2" s="53" t="s">
        <v>1</v>
      </c>
      <c r="B2" s="53"/>
      <c r="C2" s="53"/>
      <c r="D2" s="53"/>
      <c r="E2" s="53"/>
      <c r="F2" s="53"/>
      <c r="G2" s="53"/>
      <c r="H2" s="53"/>
      <c r="I2" s="53"/>
    </row>
    <row r="3" spans="1:11" ht="28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26" customHeight="1" x14ac:dyDescent="0.35">
      <c r="A4" s="54" t="s">
        <v>13</v>
      </c>
      <c r="B4" s="54"/>
      <c r="C4" s="54"/>
      <c r="D4" s="54"/>
      <c r="E4" s="54"/>
      <c r="F4" s="54"/>
      <c r="G4" s="54"/>
      <c r="H4" s="54"/>
      <c r="I4" s="54"/>
    </row>
    <row r="5" spans="1:11" ht="38" customHeight="1" x14ac:dyDescent="0.35">
      <c r="A5" s="2" t="s">
        <v>13</v>
      </c>
      <c r="B5" s="3" t="s">
        <v>14</v>
      </c>
      <c r="C5" s="4" t="s">
        <v>15</v>
      </c>
      <c r="D5" s="5">
        <v>0.9</v>
      </c>
      <c r="E5" s="6" t="s">
        <v>16</v>
      </c>
      <c r="F5" s="5">
        <v>0.9</v>
      </c>
      <c r="G5" s="6" t="s">
        <v>16</v>
      </c>
      <c r="H5" s="7" t="s">
        <v>17</v>
      </c>
      <c r="I5" s="8" t="s">
        <v>18</v>
      </c>
      <c r="J5" t="str">
        <f>IF($B5&lt;&gt;"",$B5,J4)</f>
        <v>User Account &amp; Profile</v>
      </c>
      <c r="K5">
        <f>IFERROR(VALUE(LEFT($I5,FIND(" ",$I5&amp;" ")-1)),0)</f>
        <v>0</v>
      </c>
    </row>
    <row r="6" spans="1:11" ht="38" customHeight="1" x14ac:dyDescent="0.35">
      <c r="A6" s="2"/>
      <c r="B6" s="9"/>
      <c r="C6" s="4" t="s">
        <v>19</v>
      </c>
      <c r="D6" s="10">
        <v>0</v>
      </c>
      <c r="E6" s="11" t="s">
        <v>20</v>
      </c>
      <c r="F6" s="10">
        <v>0</v>
      </c>
      <c r="G6" s="11" t="s">
        <v>20</v>
      </c>
      <c r="H6" s="7" t="s">
        <v>21</v>
      </c>
      <c r="I6" s="12" t="s">
        <v>22</v>
      </c>
      <c r="J6" t="str">
        <f t="shared" ref="J6:J69" si="0">IF($B6&lt;&gt;"",$B6,J5)</f>
        <v>User Account &amp; Profile</v>
      </c>
      <c r="K6">
        <f t="shared" ref="K6:K69" si="1">IFERROR(VALUE(LEFT($I6,FIND(" ",$I6&amp;" ")-1)),0)</f>
        <v>3</v>
      </c>
    </row>
    <row r="7" spans="1:11" ht="38" customHeight="1" x14ac:dyDescent="0.35">
      <c r="A7" s="2"/>
      <c r="B7" s="9"/>
      <c r="C7" s="4" t="s">
        <v>23</v>
      </c>
      <c r="D7" s="5">
        <v>0.9</v>
      </c>
      <c r="E7" s="6" t="s">
        <v>16</v>
      </c>
      <c r="F7" s="5">
        <v>0.9</v>
      </c>
      <c r="G7" s="6" t="s">
        <v>16</v>
      </c>
      <c r="H7" s="7" t="s">
        <v>24</v>
      </c>
      <c r="I7" s="8" t="s">
        <v>18</v>
      </c>
      <c r="J7" t="str">
        <f t="shared" si="0"/>
        <v>User Account &amp; Profile</v>
      </c>
      <c r="K7">
        <f t="shared" si="1"/>
        <v>0</v>
      </c>
    </row>
    <row r="8" spans="1:11" ht="38" customHeight="1" x14ac:dyDescent="0.35">
      <c r="A8" s="2"/>
      <c r="B8" s="9"/>
      <c r="C8" s="4" t="s">
        <v>25</v>
      </c>
      <c r="D8" s="5">
        <v>0.8</v>
      </c>
      <c r="E8" s="6" t="s">
        <v>16</v>
      </c>
      <c r="F8" s="5">
        <v>0.8</v>
      </c>
      <c r="G8" s="6" t="s">
        <v>16</v>
      </c>
      <c r="H8" s="7" t="s">
        <v>26</v>
      </c>
      <c r="I8" s="13" t="s">
        <v>27</v>
      </c>
      <c r="J8" t="str">
        <f t="shared" si="0"/>
        <v>User Account &amp; Profile</v>
      </c>
      <c r="K8">
        <f t="shared" si="1"/>
        <v>1</v>
      </c>
    </row>
    <row r="9" spans="1:11" ht="38" customHeight="1" x14ac:dyDescent="0.35">
      <c r="A9" s="2"/>
      <c r="B9" s="9"/>
      <c r="C9" s="4" t="s">
        <v>28</v>
      </c>
      <c r="D9" s="5">
        <v>0.8</v>
      </c>
      <c r="E9" s="6" t="s">
        <v>16</v>
      </c>
      <c r="F9" s="5">
        <v>0.8</v>
      </c>
      <c r="G9" s="6" t="s">
        <v>16</v>
      </c>
      <c r="H9" s="7" t="s">
        <v>29</v>
      </c>
      <c r="I9" s="13" t="s">
        <v>27</v>
      </c>
      <c r="J9" t="str">
        <f t="shared" si="0"/>
        <v>User Account &amp; Profile</v>
      </c>
      <c r="K9">
        <f t="shared" si="1"/>
        <v>1</v>
      </c>
    </row>
    <row r="10" spans="1:11" ht="38" customHeight="1" x14ac:dyDescent="0.35">
      <c r="A10" s="2"/>
      <c r="B10" s="9"/>
      <c r="C10" s="4" t="s">
        <v>30</v>
      </c>
      <c r="D10" s="5">
        <v>0.8</v>
      </c>
      <c r="E10" s="6" t="s">
        <v>16</v>
      </c>
      <c r="F10" s="5">
        <v>0.8</v>
      </c>
      <c r="G10" s="6" t="s">
        <v>16</v>
      </c>
      <c r="H10" s="7" t="s">
        <v>31</v>
      </c>
      <c r="I10" s="13" t="s">
        <v>27</v>
      </c>
      <c r="J10" t="str">
        <f t="shared" si="0"/>
        <v>User Account &amp; Profile</v>
      </c>
      <c r="K10">
        <f t="shared" si="1"/>
        <v>1</v>
      </c>
    </row>
    <row r="11" spans="1:11" ht="38" customHeight="1" x14ac:dyDescent="0.35">
      <c r="A11" s="2"/>
      <c r="B11" s="9"/>
      <c r="C11" s="4" t="s">
        <v>32</v>
      </c>
      <c r="D11" s="14">
        <v>0.3</v>
      </c>
      <c r="E11" s="15" t="s">
        <v>33</v>
      </c>
      <c r="F11" s="14">
        <v>0.4</v>
      </c>
      <c r="G11" s="15" t="s">
        <v>33</v>
      </c>
      <c r="H11" s="7" t="s">
        <v>34</v>
      </c>
      <c r="I11" s="12" t="s">
        <v>22</v>
      </c>
      <c r="J11" t="str">
        <f t="shared" si="0"/>
        <v>User Account &amp; Profile</v>
      </c>
      <c r="K11">
        <f t="shared" si="1"/>
        <v>3</v>
      </c>
    </row>
    <row r="12" spans="1:11" ht="38" customHeight="1" x14ac:dyDescent="0.35">
      <c r="A12" s="2"/>
      <c r="B12" s="9"/>
      <c r="C12" s="4" t="s">
        <v>35</v>
      </c>
      <c r="D12" s="10">
        <v>0</v>
      </c>
      <c r="E12" s="11" t="s">
        <v>20</v>
      </c>
      <c r="F12" s="16">
        <v>0.2</v>
      </c>
      <c r="G12" s="17" t="s">
        <v>36</v>
      </c>
      <c r="H12" s="7" t="s">
        <v>37</v>
      </c>
      <c r="I12" s="12" t="s">
        <v>38</v>
      </c>
      <c r="J12" t="str">
        <f t="shared" si="0"/>
        <v>User Account &amp; Profile</v>
      </c>
      <c r="K12">
        <f t="shared" si="1"/>
        <v>4</v>
      </c>
    </row>
    <row r="13" spans="1:11" ht="38" customHeight="1" x14ac:dyDescent="0.35">
      <c r="A13" s="2"/>
      <c r="B13" s="9"/>
      <c r="C13" s="4" t="s">
        <v>39</v>
      </c>
      <c r="D13" s="14">
        <v>0.4</v>
      </c>
      <c r="E13" s="15" t="s">
        <v>33</v>
      </c>
      <c r="F13" s="14">
        <v>0.5</v>
      </c>
      <c r="G13" s="15" t="s">
        <v>33</v>
      </c>
      <c r="H13" s="7" t="s">
        <v>40</v>
      </c>
      <c r="I13" s="13" t="s">
        <v>41</v>
      </c>
      <c r="J13" t="str">
        <f t="shared" si="0"/>
        <v>User Account &amp; Profile</v>
      </c>
      <c r="K13">
        <f t="shared" si="1"/>
        <v>2</v>
      </c>
    </row>
    <row r="14" spans="1:11" ht="38" customHeight="1" x14ac:dyDescent="0.35">
      <c r="A14" s="2"/>
      <c r="B14" s="9"/>
      <c r="C14" s="4" t="s">
        <v>42</v>
      </c>
      <c r="D14" s="10">
        <v>0</v>
      </c>
      <c r="E14" s="11" t="s">
        <v>20</v>
      </c>
      <c r="F14" s="10">
        <v>0</v>
      </c>
      <c r="G14" s="11" t="s">
        <v>20</v>
      </c>
      <c r="H14" s="7" t="s">
        <v>43</v>
      </c>
      <c r="I14" s="18" t="s">
        <v>44</v>
      </c>
      <c r="J14" t="str">
        <f t="shared" si="0"/>
        <v>User Account &amp; Profile</v>
      </c>
      <c r="K14">
        <f t="shared" si="1"/>
        <v>0</v>
      </c>
    </row>
    <row r="15" spans="1:11" ht="38" customHeight="1" x14ac:dyDescent="0.35">
      <c r="A15" s="2"/>
      <c r="B15" s="3" t="s">
        <v>45</v>
      </c>
      <c r="C15" s="4" t="s">
        <v>46</v>
      </c>
      <c r="D15" s="5">
        <v>0.85</v>
      </c>
      <c r="E15" s="6" t="s">
        <v>16</v>
      </c>
      <c r="F15" s="5">
        <v>0.8</v>
      </c>
      <c r="G15" s="6" t="s">
        <v>16</v>
      </c>
      <c r="H15" s="7" t="s">
        <v>47</v>
      </c>
      <c r="I15" s="8" t="s">
        <v>18</v>
      </c>
      <c r="J15" t="str">
        <f t="shared" si="0"/>
        <v>Social Feed (Timeline)</v>
      </c>
      <c r="K15">
        <f t="shared" si="1"/>
        <v>0</v>
      </c>
    </row>
    <row r="16" spans="1:11" ht="38" customHeight="1" x14ac:dyDescent="0.35">
      <c r="A16" s="2"/>
      <c r="B16" s="9"/>
      <c r="C16" s="4" t="s">
        <v>48</v>
      </c>
      <c r="D16" s="5">
        <v>0.85</v>
      </c>
      <c r="E16" s="6" t="s">
        <v>16</v>
      </c>
      <c r="F16" s="5">
        <v>0.8</v>
      </c>
      <c r="G16" s="6" t="s">
        <v>16</v>
      </c>
      <c r="H16" s="7" t="s">
        <v>49</v>
      </c>
      <c r="I16" s="8" t="s">
        <v>18</v>
      </c>
      <c r="J16" t="str">
        <f t="shared" si="0"/>
        <v>Social Feed (Timeline)</v>
      </c>
      <c r="K16">
        <f t="shared" si="1"/>
        <v>0</v>
      </c>
    </row>
    <row r="17" spans="1:11" ht="38" customHeight="1" x14ac:dyDescent="0.35">
      <c r="A17" s="2"/>
      <c r="B17" s="9"/>
      <c r="C17" s="4" t="s">
        <v>50</v>
      </c>
      <c r="D17" s="5">
        <v>0.8</v>
      </c>
      <c r="E17" s="6" t="s">
        <v>16</v>
      </c>
      <c r="F17" s="19">
        <v>0.75</v>
      </c>
      <c r="G17" s="20" t="s">
        <v>51</v>
      </c>
      <c r="H17" s="7" t="s">
        <v>52</v>
      </c>
      <c r="I17" s="13" t="s">
        <v>27</v>
      </c>
      <c r="J17" t="str">
        <f t="shared" si="0"/>
        <v>Social Feed (Timeline)</v>
      </c>
      <c r="K17">
        <f t="shared" si="1"/>
        <v>1</v>
      </c>
    </row>
    <row r="18" spans="1:11" ht="38" customHeight="1" x14ac:dyDescent="0.35">
      <c r="A18" s="2"/>
      <c r="B18" s="9"/>
      <c r="C18" s="4" t="s">
        <v>53</v>
      </c>
      <c r="D18" s="5">
        <v>0.8</v>
      </c>
      <c r="E18" s="6" t="s">
        <v>16</v>
      </c>
      <c r="F18" s="19">
        <v>0.75</v>
      </c>
      <c r="G18" s="20" t="s">
        <v>51</v>
      </c>
      <c r="H18" s="7" t="s">
        <v>54</v>
      </c>
      <c r="I18" s="13" t="s">
        <v>27</v>
      </c>
      <c r="J18" t="str">
        <f t="shared" si="0"/>
        <v>Social Feed (Timeline)</v>
      </c>
      <c r="K18">
        <f t="shared" si="1"/>
        <v>1</v>
      </c>
    </row>
    <row r="19" spans="1:11" ht="38" customHeight="1" x14ac:dyDescent="0.35">
      <c r="A19" s="2"/>
      <c r="B19" s="9"/>
      <c r="C19" s="4" t="s">
        <v>55</v>
      </c>
      <c r="D19" s="19">
        <v>0.75</v>
      </c>
      <c r="E19" s="20" t="s">
        <v>51</v>
      </c>
      <c r="F19" s="19">
        <v>0.7</v>
      </c>
      <c r="G19" s="20" t="s">
        <v>51</v>
      </c>
      <c r="H19" s="7" t="s">
        <v>56</v>
      </c>
      <c r="I19" s="13" t="s">
        <v>27</v>
      </c>
      <c r="J19" t="str">
        <f t="shared" si="0"/>
        <v>Social Feed (Timeline)</v>
      </c>
      <c r="K19">
        <f t="shared" si="1"/>
        <v>1</v>
      </c>
    </row>
    <row r="20" spans="1:11" ht="38" customHeight="1" x14ac:dyDescent="0.35">
      <c r="A20" s="2"/>
      <c r="B20" s="9"/>
      <c r="C20" s="4" t="s">
        <v>57</v>
      </c>
      <c r="D20" s="5">
        <v>0.8</v>
      </c>
      <c r="E20" s="6" t="s">
        <v>16</v>
      </c>
      <c r="F20" s="19">
        <v>0.75</v>
      </c>
      <c r="G20" s="20" t="s">
        <v>51</v>
      </c>
      <c r="H20" s="7" t="s">
        <v>58</v>
      </c>
      <c r="I20" s="13" t="s">
        <v>27</v>
      </c>
      <c r="J20" t="str">
        <f t="shared" si="0"/>
        <v>Social Feed (Timeline)</v>
      </c>
      <c r="K20">
        <f t="shared" si="1"/>
        <v>1</v>
      </c>
    </row>
    <row r="21" spans="1:11" ht="38" customHeight="1" x14ac:dyDescent="0.35">
      <c r="A21" s="2"/>
      <c r="B21" s="9"/>
      <c r="C21" s="4" t="s">
        <v>59</v>
      </c>
      <c r="D21" s="19">
        <v>0.6</v>
      </c>
      <c r="E21" s="20" t="s">
        <v>51</v>
      </c>
      <c r="F21" s="19">
        <v>0.6</v>
      </c>
      <c r="G21" s="20" t="s">
        <v>51</v>
      </c>
      <c r="H21" s="7" t="s">
        <v>60</v>
      </c>
      <c r="I21" s="12" t="s">
        <v>22</v>
      </c>
      <c r="J21" t="str">
        <f t="shared" si="0"/>
        <v>Social Feed (Timeline)</v>
      </c>
      <c r="K21">
        <f t="shared" si="1"/>
        <v>3</v>
      </c>
    </row>
    <row r="22" spans="1:11" ht="38" customHeight="1" x14ac:dyDescent="0.35">
      <c r="A22" s="2"/>
      <c r="B22" s="9"/>
      <c r="C22" s="4" t="s">
        <v>61</v>
      </c>
      <c r="D22" s="10">
        <v>0</v>
      </c>
      <c r="E22" s="11" t="s">
        <v>20</v>
      </c>
      <c r="F22" s="10">
        <v>0</v>
      </c>
      <c r="G22" s="11" t="s">
        <v>20</v>
      </c>
      <c r="H22" s="7" t="s">
        <v>62</v>
      </c>
      <c r="I22" s="12" t="s">
        <v>22</v>
      </c>
      <c r="J22" t="str">
        <f t="shared" si="0"/>
        <v>Social Feed (Timeline)</v>
      </c>
      <c r="K22">
        <f t="shared" si="1"/>
        <v>3</v>
      </c>
    </row>
    <row r="23" spans="1:11" ht="38" customHeight="1" x14ac:dyDescent="0.35">
      <c r="A23" s="2"/>
      <c r="B23" s="9"/>
      <c r="C23" s="4" t="s">
        <v>63</v>
      </c>
      <c r="D23" s="16">
        <v>0.2</v>
      </c>
      <c r="E23" s="17" t="s">
        <v>36</v>
      </c>
      <c r="F23" s="16">
        <v>0.2</v>
      </c>
      <c r="G23" s="17" t="s">
        <v>36</v>
      </c>
      <c r="H23" s="7" t="s">
        <v>64</v>
      </c>
      <c r="I23" s="12" t="s">
        <v>22</v>
      </c>
      <c r="J23" t="str">
        <f t="shared" si="0"/>
        <v>Social Feed (Timeline)</v>
      </c>
      <c r="K23">
        <f t="shared" si="1"/>
        <v>3</v>
      </c>
    </row>
    <row r="24" spans="1:11" ht="38" customHeight="1" x14ac:dyDescent="0.35">
      <c r="A24" s="2"/>
      <c r="B24" s="9"/>
      <c r="C24" s="4" t="s">
        <v>65</v>
      </c>
      <c r="D24" s="14">
        <v>0.4</v>
      </c>
      <c r="E24" s="15" t="s">
        <v>33</v>
      </c>
      <c r="F24" s="14">
        <v>0.4</v>
      </c>
      <c r="G24" s="15" t="s">
        <v>33</v>
      </c>
      <c r="H24" s="7" t="s">
        <v>66</v>
      </c>
      <c r="I24" s="12" t="s">
        <v>22</v>
      </c>
      <c r="J24" t="str">
        <f t="shared" si="0"/>
        <v>Social Feed (Timeline)</v>
      </c>
      <c r="K24">
        <f t="shared" si="1"/>
        <v>3</v>
      </c>
    </row>
    <row r="25" spans="1:11" ht="38" customHeight="1" x14ac:dyDescent="0.35">
      <c r="A25" s="2"/>
      <c r="B25" s="9"/>
      <c r="C25" s="4" t="s">
        <v>67</v>
      </c>
      <c r="D25" s="14">
        <v>0.5</v>
      </c>
      <c r="E25" s="15" t="s">
        <v>33</v>
      </c>
      <c r="F25" s="14">
        <v>0.5</v>
      </c>
      <c r="G25" s="15" t="s">
        <v>33</v>
      </c>
      <c r="H25" s="7" t="s">
        <v>68</v>
      </c>
      <c r="I25" s="13" t="s">
        <v>41</v>
      </c>
      <c r="J25" t="str">
        <f t="shared" si="0"/>
        <v>Social Feed (Timeline)</v>
      </c>
      <c r="K25">
        <f t="shared" si="1"/>
        <v>2</v>
      </c>
    </row>
    <row r="26" spans="1:11" ht="38" customHeight="1" x14ac:dyDescent="0.35">
      <c r="A26" s="2"/>
      <c r="B26" s="9"/>
      <c r="C26" s="4" t="s">
        <v>69</v>
      </c>
      <c r="D26" s="16">
        <v>0.2</v>
      </c>
      <c r="E26" s="17" t="s">
        <v>36</v>
      </c>
      <c r="F26" s="14">
        <v>0.3</v>
      </c>
      <c r="G26" s="15" t="s">
        <v>33</v>
      </c>
      <c r="H26" s="7" t="s">
        <v>70</v>
      </c>
      <c r="I26" s="12" t="s">
        <v>38</v>
      </c>
      <c r="J26" t="str">
        <f t="shared" si="0"/>
        <v>Social Feed (Timeline)</v>
      </c>
      <c r="K26">
        <f t="shared" si="1"/>
        <v>4</v>
      </c>
    </row>
    <row r="27" spans="1:11" ht="38" customHeight="1" x14ac:dyDescent="0.35">
      <c r="A27" s="2"/>
      <c r="B27" s="9"/>
      <c r="C27" s="4" t="s">
        <v>71</v>
      </c>
      <c r="D27" s="10">
        <v>0</v>
      </c>
      <c r="E27" s="11" t="s">
        <v>20</v>
      </c>
      <c r="F27" s="10">
        <v>0</v>
      </c>
      <c r="G27" s="11" t="s">
        <v>20</v>
      </c>
      <c r="H27" s="7" t="s">
        <v>72</v>
      </c>
      <c r="I27" s="21" t="s">
        <v>73</v>
      </c>
      <c r="J27" t="str">
        <f t="shared" si="0"/>
        <v>Social Feed (Timeline)</v>
      </c>
      <c r="K27">
        <f t="shared" si="1"/>
        <v>8</v>
      </c>
    </row>
    <row r="28" spans="1:11" ht="38" customHeight="1" x14ac:dyDescent="0.35">
      <c r="A28" s="2"/>
      <c r="B28" s="9"/>
      <c r="C28" s="4" t="s">
        <v>74</v>
      </c>
      <c r="D28" s="16">
        <v>0.2</v>
      </c>
      <c r="E28" s="17" t="s">
        <v>36</v>
      </c>
      <c r="F28" s="16">
        <v>0.2</v>
      </c>
      <c r="G28" s="17" t="s">
        <v>36</v>
      </c>
      <c r="H28" s="7" t="s">
        <v>75</v>
      </c>
      <c r="I28" s="12" t="s">
        <v>22</v>
      </c>
      <c r="J28" t="str">
        <f t="shared" si="0"/>
        <v>Social Feed (Timeline)</v>
      </c>
      <c r="K28">
        <f t="shared" si="1"/>
        <v>3</v>
      </c>
    </row>
    <row r="29" spans="1:11" ht="38" customHeight="1" x14ac:dyDescent="0.35">
      <c r="A29" s="2"/>
      <c r="B29" s="3" t="s">
        <v>76</v>
      </c>
      <c r="C29" s="4" t="s">
        <v>77</v>
      </c>
      <c r="D29" s="5">
        <v>0.85</v>
      </c>
      <c r="E29" s="6" t="s">
        <v>16</v>
      </c>
      <c r="F29" s="5">
        <v>0.8</v>
      </c>
      <c r="G29" s="6" t="s">
        <v>16</v>
      </c>
      <c r="H29" s="7" t="s">
        <v>78</v>
      </c>
      <c r="I29" s="8" t="s">
        <v>18</v>
      </c>
      <c r="J29" t="str">
        <f t="shared" si="0"/>
        <v>Posting &amp; Content Creation</v>
      </c>
      <c r="K29">
        <f t="shared" si="1"/>
        <v>0</v>
      </c>
    </row>
    <row r="30" spans="1:11" ht="38" customHeight="1" x14ac:dyDescent="0.35">
      <c r="A30" s="2"/>
      <c r="B30" s="9"/>
      <c r="C30" s="4" t="s">
        <v>79</v>
      </c>
      <c r="D30" s="16">
        <v>0.25</v>
      </c>
      <c r="E30" s="17" t="s">
        <v>36</v>
      </c>
      <c r="F30" s="16">
        <v>0.2</v>
      </c>
      <c r="G30" s="17" t="s">
        <v>36</v>
      </c>
      <c r="H30" s="7" t="s">
        <v>80</v>
      </c>
      <c r="I30" s="21" t="s">
        <v>81</v>
      </c>
      <c r="J30" t="str">
        <f t="shared" si="0"/>
        <v>Posting &amp; Content Creation</v>
      </c>
      <c r="K30">
        <f t="shared" si="1"/>
        <v>7</v>
      </c>
    </row>
    <row r="31" spans="1:11" ht="38" customHeight="1" x14ac:dyDescent="0.35">
      <c r="A31" s="2"/>
      <c r="B31" s="9"/>
      <c r="C31" s="4" t="s">
        <v>82</v>
      </c>
      <c r="D31" s="5">
        <v>0.8</v>
      </c>
      <c r="E31" s="6" t="s">
        <v>16</v>
      </c>
      <c r="F31" s="19">
        <v>0.75</v>
      </c>
      <c r="G31" s="20" t="s">
        <v>51</v>
      </c>
      <c r="H31" s="7" t="s">
        <v>83</v>
      </c>
      <c r="I31" s="13" t="s">
        <v>27</v>
      </c>
      <c r="J31" t="str">
        <f t="shared" si="0"/>
        <v>Posting &amp; Content Creation</v>
      </c>
      <c r="K31">
        <f t="shared" si="1"/>
        <v>1</v>
      </c>
    </row>
    <row r="32" spans="1:11" ht="38" customHeight="1" x14ac:dyDescent="0.35">
      <c r="A32" s="2"/>
      <c r="B32" s="9"/>
      <c r="C32" s="4" t="s">
        <v>84</v>
      </c>
      <c r="D32" s="14">
        <v>0.3</v>
      </c>
      <c r="E32" s="15" t="s">
        <v>33</v>
      </c>
      <c r="F32" s="14">
        <v>0.4</v>
      </c>
      <c r="G32" s="15" t="s">
        <v>33</v>
      </c>
      <c r="H32" s="7" t="s">
        <v>85</v>
      </c>
      <c r="I32" s="13" t="s">
        <v>41</v>
      </c>
      <c r="J32" t="str">
        <f t="shared" si="0"/>
        <v>Posting &amp; Content Creation</v>
      </c>
      <c r="K32">
        <f t="shared" si="1"/>
        <v>2</v>
      </c>
    </row>
    <row r="33" spans="1:11" ht="38" customHeight="1" x14ac:dyDescent="0.35">
      <c r="A33" s="2"/>
      <c r="B33" s="9"/>
      <c r="C33" s="4" t="s">
        <v>86</v>
      </c>
      <c r="D33" s="19">
        <v>0.6</v>
      </c>
      <c r="E33" s="20" t="s">
        <v>51</v>
      </c>
      <c r="F33" s="19">
        <v>0.65</v>
      </c>
      <c r="G33" s="20" t="s">
        <v>51</v>
      </c>
      <c r="H33" s="7" t="s">
        <v>87</v>
      </c>
      <c r="I33" s="13" t="s">
        <v>41</v>
      </c>
      <c r="J33" t="str">
        <f t="shared" si="0"/>
        <v>Posting &amp; Content Creation</v>
      </c>
      <c r="K33">
        <f t="shared" si="1"/>
        <v>2</v>
      </c>
    </row>
    <row r="34" spans="1:11" ht="38" customHeight="1" x14ac:dyDescent="0.35">
      <c r="A34" s="2"/>
      <c r="B34" s="9"/>
      <c r="C34" s="4" t="s">
        <v>88</v>
      </c>
      <c r="D34" s="19">
        <v>0.75</v>
      </c>
      <c r="E34" s="20" t="s">
        <v>51</v>
      </c>
      <c r="F34" s="19">
        <v>0.7</v>
      </c>
      <c r="G34" s="20" t="s">
        <v>51</v>
      </c>
      <c r="H34" s="7" t="s">
        <v>89</v>
      </c>
      <c r="I34" s="13" t="s">
        <v>27</v>
      </c>
      <c r="J34" t="str">
        <f t="shared" si="0"/>
        <v>Posting &amp; Content Creation</v>
      </c>
      <c r="K34">
        <f t="shared" si="1"/>
        <v>1</v>
      </c>
    </row>
    <row r="35" spans="1:11" ht="38" customHeight="1" x14ac:dyDescent="0.35">
      <c r="A35" s="2"/>
      <c r="B35" s="9"/>
      <c r="C35" s="4" t="s">
        <v>90</v>
      </c>
      <c r="D35" s="19">
        <v>0.65</v>
      </c>
      <c r="E35" s="20" t="s">
        <v>51</v>
      </c>
      <c r="F35" s="19">
        <v>0.6</v>
      </c>
      <c r="G35" s="20" t="s">
        <v>51</v>
      </c>
      <c r="H35" s="7" t="s">
        <v>91</v>
      </c>
      <c r="I35" s="13" t="s">
        <v>41</v>
      </c>
      <c r="J35" t="str">
        <f t="shared" si="0"/>
        <v>Posting &amp; Content Creation</v>
      </c>
      <c r="K35">
        <f t="shared" si="1"/>
        <v>2</v>
      </c>
    </row>
    <row r="36" spans="1:11" ht="38" customHeight="1" x14ac:dyDescent="0.35">
      <c r="A36" s="2"/>
      <c r="B36" s="9"/>
      <c r="C36" s="4" t="s">
        <v>92</v>
      </c>
      <c r="D36" s="10">
        <v>0</v>
      </c>
      <c r="E36" s="11" t="s">
        <v>20</v>
      </c>
      <c r="F36" s="10">
        <v>0</v>
      </c>
      <c r="G36" s="11" t="s">
        <v>20</v>
      </c>
      <c r="H36" s="7" t="s">
        <v>93</v>
      </c>
      <c r="I36" s="18" t="s">
        <v>44</v>
      </c>
      <c r="J36" t="str">
        <f t="shared" si="0"/>
        <v>Posting &amp; Content Creation</v>
      </c>
      <c r="K36">
        <f t="shared" si="1"/>
        <v>0</v>
      </c>
    </row>
    <row r="37" spans="1:11" ht="38" customHeight="1" x14ac:dyDescent="0.35">
      <c r="A37" s="2"/>
      <c r="B37" s="9"/>
      <c r="C37" s="4" t="s">
        <v>94</v>
      </c>
      <c r="D37" s="19">
        <v>0.65</v>
      </c>
      <c r="E37" s="20" t="s">
        <v>51</v>
      </c>
      <c r="F37" s="19">
        <v>0.65</v>
      </c>
      <c r="G37" s="20" t="s">
        <v>51</v>
      </c>
      <c r="H37" s="7" t="s">
        <v>95</v>
      </c>
      <c r="I37" s="13" t="s">
        <v>41</v>
      </c>
      <c r="J37" t="str">
        <f t="shared" si="0"/>
        <v>Posting &amp; Content Creation</v>
      </c>
      <c r="K37">
        <f t="shared" si="1"/>
        <v>2</v>
      </c>
    </row>
    <row r="38" spans="1:11" ht="38" customHeight="1" x14ac:dyDescent="0.35">
      <c r="A38" s="2"/>
      <c r="B38" s="9"/>
      <c r="C38" s="4" t="s">
        <v>96</v>
      </c>
      <c r="D38" s="14">
        <v>0.5</v>
      </c>
      <c r="E38" s="15" t="s">
        <v>33</v>
      </c>
      <c r="F38" s="14">
        <v>0.55000000000000004</v>
      </c>
      <c r="G38" s="15" t="s">
        <v>33</v>
      </c>
      <c r="H38" s="7" t="s">
        <v>97</v>
      </c>
      <c r="I38" s="12" t="s">
        <v>22</v>
      </c>
      <c r="J38" t="str">
        <f t="shared" si="0"/>
        <v>Posting &amp; Content Creation</v>
      </c>
      <c r="K38">
        <f t="shared" si="1"/>
        <v>3</v>
      </c>
    </row>
    <row r="39" spans="1:11" ht="38" customHeight="1" x14ac:dyDescent="0.35">
      <c r="A39" s="2"/>
      <c r="B39" s="9"/>
      <c r="C39" s="4" t="s">
        <v>98</v>
      </c>
      <c r="D39" s="14">
        <v>0.5</v>
      </c>
      <c r="E39" s="15" t="s">
        <v>33</v>
      </c>
      <c r="F39" s="14">
        <v>0.55000000000000004</v>
      </c>
      <c r="G39" s="15" t="s">
        <v>33</v>
      </c>
      <c r="H39" s="7" t="s">
        <v>99</v>
      </c>
      <c r="I39" s="12" t="s">
        <v>22</v>
      </c>
      <c r="J39" t="str">
        <f t="shared" si="0"/>
        <v>Posting &amp; Content Creation</v>
      </c>
      <c r="K39">
        <f t="shared" si="1"/>
        <v>3</v>
      </c>
    </row>
    <row r="40" spans="1:11" ht="38" customHeight="1" x14ac:dyDescent="0.35">
      <c r="A40" s="2"/>
      <c r="B40" s="9"/>
      <c r="C40" s="4" t="s">
        <v>100</v>
      </c>
      <c r="D40" s="14">
        <v>0.55000000000000004</v>
      </c>
      <c r="E40" s="15" t="s">
        <v>33</v>
      </c>
      <c r="F40" s="19">
        <v>0.6</v>
      </c>
      <c r="G40" s="20" t="s">
        <v>51</v>
      </c>
      <c r="H40" s="7" t="s">
        <v>101</v>
      </c>
      <c r="I40" s="13" t="s">
        <v>41</v>
      </c>
      <c r="J40" t="str">
        <f t="shared" si="0"/>
        <v>Posting &amp; Content Creation</v>
      </c>
      <c r="K40">
        <f t="shared" si="1"/>
        <v>2</v>
      </c>
    </row>
    <row r="41" spans="1:11" ht="38" customHeight="1" x14ac:dyDescent="0.35">
      <c r="A41" s="2"/>
      <c r="B41" s="3" t="s">
        <v>102</v>
      </c>
      <c r="C41" s="4" t="s">
        <v>103</v>
      </c>
      <c r="D41" s="5">
        <v>0.8</v>
      </c>
      <c r="E41" s="6" t="s">
        <v>16</v>
      </c>
      <c r="F41" s="19">
        <v>0.75</v>
      </c>
      <c r="G41" s="20" t="s">
        <v>51</v>
      </c>
      <c r="H41" s="7" t="s">
        <v>104</v>
      </c>
      <c r="I41" s="13" t="s">
        <v>27</v>
      </c>
      <c r="J41" t="str">
        <f t="shared" si="0"/>
        <v>Engagement</v>
      </c>
      <c r="K41">
        <f t="shared" si="1"/>
        <v>1</v>
      </c>
    </row>
    <row r="42" spans="1:11" ht="38" customHeight="1" x14ac:dyDescent="0.35">
      <c r="A42" s="2"/>
      <c r="B42" s="9"/>
      <c r="C42" s="4" t="s">
        <v>105</v>
      </c>
      <c r="D42" s="5">
        <v>0.8</v>
      </c>
      <c r="E42" s="6" t="s">
        <v>16</v>
      </c>
      <c r="F42" s="19">
        <v>0.75</v>
      </c>
      <c r="G42" s="20" t="s">
        <v>51</v>
      </c>
      <c r="H42" s="7" t="s">
        <v>106</v>
      </c>
      <c r="I42" s="13" t="s">
        <v>27</v>
      </c>
      <c r="J42" t="str">
        <f t="shared" si="0"/>
        <v>Engagement</v>
      </c>
      <c r="K42">
        <f t="shared" si="1"/>
        <v>1</v>
      </c>
    </row>
    <row r="43" spans="1:11" ht="38" customHeight="1" x14ac:dyDescent="0.35">
      <c r="A43" s="2"/>
      <c r="B43" s="9"/>
      <c r="C43" s="4" t="s">
        <v>107</v>
      </c>
      <c r="D43" s="19">
        <v>0.6</v>
      </c>
      <c r="E43" s="20" t="s">
        <v>51</v>
      </c>
      <c r="F43" s="19">
        <v>0.6</v>
      </c>
      <c r="G43" s="20" t="s">
        <v>51</v>
      </c>
      <c r="H43" s="7" t="s">
        <v>108</v>
      </c>
      <c r="I43" s="13" t="s">
        <v>41</v>
      </c>
      <c r="J43" t="str">
        <f t="shared" si="0"/>
        <v>Engagement</v>
      </c>
      <c r="K43">
        <f t="shared" si="1"/>
        <v>2</v>
      </c>
    </row>
    <row r="44" spans="1:11" ht="38" customHeight="1" x14ac:dyDescent="0.35">
      <c r="A44" s="2"/>
      <c r="B44" s="9"/>
      <c r="C44" s="4" t="s">
        <v>109</v>
      </c>
      <c r="D44" s="14">
        <v>0.4</v>
      </c>
      <c r="E44" s="15" t="s">
        <v>33</v>
      </c>
      <c r="F44" s="14">
        <v>0.45</v>
      </c>
      <c r="G44" s="15" t="s">
        <v>33</v>
      </c>
      <c r="H44" s="7" t="s">
        <v>110</v>
      </c>
      <c r="I44" s="13" t="s">
        <v>27</v>
      </c>
      <c r="J44" t="str">
        <f t="shared" si="0"/>
        <v>Engagement</v>
      </c>
      <c r="K44">
        <f t="shared" si="1"/>
        <v>1</v>
      </c>
    </row>
    <row r="45" spans="1:11" ht="38" customHeight="1" x14ac:dyDescent="0.35">
      <c r="A45" s="2"/>
      <c r="B45" s="9"/>
      <c r="C45" s="4" t="s">
        <v>111</v>
      </c>
      <c r="D45" s="19">
        <v>0.6</v>
      </c>
      <c r="E45" s="20" t="s">
        <v>51</v>
      </c>
      <c r="F45" s="14">
        <v>0.55000000000000004</v>
      </c>
      <c r="G45" s="15" t="s">
        <v>33</v>
      </c>
      <c r="H45" s="7" t="s">
        <v>112</v>
      </c>
      <c r="I45" s="13" t="s">
        <v>41</v>
      </c>
      <c r="J45" t="str">
        <f t="shared" si="0"/>
        <v>Engagement</v>
      </c>
      <c r="K45">
        <f t="shared" si="1"/>
        <v>2</v>
      </c>
    </row>
    <row r="46" spans="1:11" ht="38" customHeight="1" x14ac:dyDescent="0.35">
      <c r="A46" s="2"/>
      <c r="B46" s="9"/>
      <c r="C46" s="4" t="s">
        <v>113</v>
      </c>
      <c r="D46" s="19">
        <v>0.7</v>
      </c>
      <c r="E46" s="20" t="s">
        <v>51</v>
      </c>
      <c r="F46" s="19">
        <v>0.7</v>
      </c>
      <c r="G46" s="20" t="s">
        <v>51</v>
      </c>
      <c r="H46" s="7" t="s">
        <v>114</v>
      </c>
      <c r="I46" s="13" t="s">
        <v>27</v>
      </c>
      <c r="J46" t="str">
        <f t="shared" si="0"/>
        <v>Engagement</v>
      </c>
      <c r="K46">
        <f t="shared" si="1"/>
        <v>1</v>
      </c>
    </row>
    <row r="47" spans="1:11" ht="38" customHeight="1" x14ac:dyDescent="0.35">
      <c r="A47" s="2"/>
      <c r="B47" s="9"/>
      <c r="C47" s="4" t="s">
        <v>115</v>
      </c>
      <c r="D47" s="5">
        <v>0.8</v>
      </c>
      <c r="E47" s="6" t="s">
        <v>16</v>
      </c>
      <c r="F47" s="5">
        <v>0.8</v>
      </c>
      <c r="G47" s="6" t="s">
        <v>16</v>
      </c>
      <c r="H47" s="7" t="s">
        <v>116</v>
      </c>
      <c r="I47" s="8" t="s">
        <v>18</v>
      </c>
      <c r="J47" t="str">
        <f t="shared" si="0"/>
        <v>Engagement</v>
      </c>
      <c r="K47">
        <f t="shared" si="1"/>
        <v>0</v>
      </c>
    </row>
    <row r="48" spans="1:11" ht="38" customHeight="1" x14ac:dyDescent="0.35">
      <c r="A48" s="2"/>
      <c r="B48" s="9"/>
      <c r="C48" s="4" t="s">
        <v>117</v>
      </c>
      <c r="D48" s="14">
        <v>0.3</v>
      </c>
      <c r="E48" s="15" t="s">
        <v>33</v>
      </c>
      <c r="F48" s="14">
        <v>0.4</v>
      </c>
      <c r="G48" s="15" t="s">
        <v>33</v>
      </c>
      <c r="H48" s="7" t="s">
        <v>118</v>
      </c>
      <c r="I48" s="12" t="s">
        <v>119</v>
      </c>
      <c r="J48" t="str">
        <f t="shared" si="0"/>
        <v>Engagement</v>
      </c>
      <c r="K48">
        <f t="shared" si="1"/>
        <v>5</v>
      </c>
    </row>
    <row r="49" spans="1:11" ht="38" customHeight="1" x14ac:dyDescent="0.35">
      <c r="A49" s="2"/>
      <c r="B49" s="9"/>
      <c r="C49" s="4" t="s">
        <v>120</v>
      </c>
      <c r="D49" s="14">
        <v>0.4</v>
      </c>
      <c r="E49" s="15" t="s">
        <v>33</v>
      </c>
      <c r="F49" s="14">
        <v>0.4</v>
      </c>
      <c r="G49" s="15" t="s">
        <v>33</v>
      </c>
      <c r="H49" s="7" t="s">
        <v>121</v>
      </c>
      <c r="I49" s="13" t="s">
        <v>41</v>
      </c>
      <c r="J49" t="str">
        <f t="shared" si="0"/>
        <v>Engagement</v>
      </c>
      <c r="K49">
        <f t="shared" si="1"/>
        <v>2</v>
      </c>
    </row>
    <row r="50" spans="1:11" ht="38" customHeight="1" x14ac:dyDescent="0.35">
      <c r="A50" s="2"/>
      <c r="B50" s="9"/>
      <c r="C50" s="4" t="s">
        <v>122</v>
      </c>
      <c r="D50" s="14">
        <v>0.3</v>
      </c>
      <c r="E50" s="15" t="s">
        <v>33</v>
      </c>
      <c r="F50" s="14">
        <v>0.3</v>
      </c>
      <c r="G50" s="15" t="s">
        <v>33</v>
      </c>
      <c r="H50" s="7" t="s">
        <v>123</v>
      </c>
      <c r="I50" s="12" t="s">
        <v>22</v>
      </c>
      <c r="J50" t="str">
        <f t="shared" si="0"/>
        <v>Engagement</v>
      </c>
      <c r="K50">
        <f t="shared" si="1"/>
        <v>3</v>
      </c>
    </row>
    <row r="51" spans="1:11" ht="38" customHeight="1" x14ac:dyDescent="0.35">
      <c r="A51" s="2"/>
      <c r="B51" s="3" t="s">
        <v>124</v>
      </c>
      <c r="C51" s="4" t="s">
        <v>125</v>
      </c>
      <c r="D51" s="5">
        <v>0.85</v>
      </c>
      <c r="E51" s="6" t="s">
        <v>16</v>
      </c>
      <c r="F51" s="5">
        <v>0.85</v>
      </c>
      <c r="G51" s="6" t="s">
        <v>16</v>
      </c>
      <c r="H51" s="7" t="s">
        <v>126</v>
      </c>
      <c r="I51" s="8" t="s">
        <v>18</v>
      </c>
      <c r="J51" t="str">
        <f t="shared" si="0"/>
        <v>Messaging (Chat)</v>
      </c>
      <c r="K51">
        <f t="shared" si="1"/>
        <v>0</v>
      </c>
    </row>
    <row r="52" spans="1:11" ht="38" customHeight="1" x14ac:dyDescent="0.35">
      <c r="A52" s="2"/>
      <c r="B52" s="9"/>
      <c r="C52" s="4" t="s">
        <v>127</v>
      </c>
      <c r="D52" s="5">
        <v>0.8</v>
      </c>
      <c r="E52" s="6" t="s">
        <v>16</v>
      </c>
      <c r="F52" s="5">
        <v>0.8</v>
      </c>
      <c r="G52" s="6" t="s">
        <v>16</v>
      </c>
      <c r="H52" s="7" t="s">
        <v>128</v>
      </c>
      <c r="I52" s="13" t="s">
        <v>27</v>
      </c>
      <c r="J52" t="str">
        <f t="shared" si="0"/>
        <v>Messaging (Chat)</v>
      </c>
      <c r="K52">
        <f t="shared" si="1"/>
        <v>1</v>
      </c>
    </row>
    <row r="53" spans="1:11" ht="38" customHeight="1" x14ac:dyDescent="0.35">
      <c r="A53" s="2"/>
      <c r="B53" s="9"/>
      <c r="C53" s="4" t="s">
        <v>129</v>
      </c>
      <c r="D53" s="5">
        <v>0.8</v>
      </c>
      <c r="E53" s="6" t="s">
        <v>16</v>
      </c>
      <c r="F53" s="19">
        <v>0.75</v>
      </c>
      <c r="G53" s="20" t="s">
        <v>51</v>
      </c>
      <c r="H53" s="7" t="s">
        <v>130</v>
      </c>
      <c r="I53" s="13" t="s">
        <v>27</v>
      </c>
      <c r="J53" t="str">
        <f t="shared" si="0"/>
        <v>Messaging (Chat)</v>
      </c>
      <c r="K53">
        <f t="shared" si="1"/>
        <v>1</v>
      </c>
    </row>
    <row r="54" spans="1:11" ht="38" customHeight="1" x14ac:dyDescent="0.35">
      <c r="A54" s="2"/>
      <c r="B54" s="9"/>
      <c r="C54" s="4" t="s">
        <v>131</v>
      </c>
      <c r="D54" s="19">
        <v>0.6</v>
      </c>
      <c r="E54" s="20" t="s">
        <v>51</v>
      </c>
      <c r="F54" s="19">
        <v>0.6</v>
      </c>
      <c r="G54" s="20" t="s">
        <v>51</v>
      </c>
      <c r="H54" s="7" t="s">
        <v>132</v>
      </c>
      <c r="I54" s="13" t="s">
        <v>41</v>
      </c>
      <c r="J54" t="str">
        <f t="shared" si="0"/>
        <v>Messaging (Chat)</v>
      </c>
      <c r="K54">
        <f t="shared" si="1"/>
        <v>2</v>
      </c>
    </row>
    <row r="55" spans="1:11" ht="38" customHeight="1" x14ac:dyDescent="0.35">
      <c r="A55" s="2"/>
      <c r="B55" s="9"/>
      <c r="C55" s="4" t="s">
        <v>133</v>
      </c>
      <c r="D55" s="14">
        <v>0.55000000000000004</v>
      </c>
      <c r="E55" s="15" t="s">
        <v>33</v>
      </c>
      <c r="F55" s="14">
        <v>0.55000000000000004</v>
      </c>
      <c r="G55" s="15" t="s">
        <v>33</v>
      </c>
      <c r="H55" s="7" t="s">
        <v>134</v>
      </c>
      <c r="I55" s="13" t="s">
        <v>41</v>
      </c>
      <c r="J55" t="str">
        <f t="shared" si="0"/>
        <v>Messaging (Chat)</v>
      </c>
      <c r="K55">
        <f t="shared" si="1"/>
        <v>2</v>
      </c>
    </row>
    <row r="56" spans="1:11" ht="38" customHeight="1" x14ac:dyDescent="0.35">
      <c r="A56" s="2"/>
      <c r="B56" s="9"/>
      <c r="C56" s="4" t="s">
        <v>135</v>
      </c>
      <c r="D56" s="10">
        <v>0</v>
      </c>
      <c r="E56" s="11" t="s">
        <v>20</v>
      </c>
      <c r="F56" s="10">
        <v>0</v>
      </c>
      <c r="G56" s="11" t="s">
        <v>20</v>
      </c>
      <c r="H56" s="7" t="s">
        <v>136</v>
      </c>
      <c r="I56" s="12" t="s">
        <v>38</v>
      </c>
      <c r="J56" t="str">
        <f t="shared" si="0"/>
        <v>Messaging (Chat)</v>
      </c>
      <c r="K56">
        <f t="shared" si="1"/>
        <v>4</v>
      </c>
    </row>
    <row r="57" spans="1:11" ht="38" customHeight="1" x14ac:dyDescent="0.35">
      <c r="A57" s="2"/>
      <c r="B57" s="9"/>
      <c r="C57" s="4" t="s">
        <v>137</v>
      </c>
      <c r="D57" s="14">
        <v>0.5</v>
      </c>
      <c r="E57" s="15" t="s">
        <v>33</v>
      </c>
      <c r="F57" s="14">
        <v>0.4</v>
      </c>
      <c r="G57" s="15" t="s">
        <v>33</v>
      </c>
      <c r="H57" s="7" t="s">
        <v>138</v>
      </c>
      <c r="I57" s="12" t="s">
        <v>22</v>
      </c>
      <c r="J57" t="str">
        <f t="shared" si="0"/>
        <v>Messaging (Chat)</v>
      </c>
      <c r="K57">
        <f t="shared" si="1"/>
        <v>3</v>
      </c>
    </row>
    <row r="58" spans="1:11" ht="38" customHeight="1" x14ac:dyDescent="0.35">
      <c r="A58" s="2"/>
      <c r="B58" s="9"/>
      <c r="C58" s="4" t="s">
        <v>139</v>
      </c>
      <c r="D58" s="10">
        <v>0</v>
      </c>
      <c r="E58" s="11" t="s">
        <v>20</v>
      </c>
      <c r="F58" s="10">
        <v>0</v>
      </c>
      <c r="G58" s="11" t="s">
        <v>20</v>
      </c>
      <c r="H58" s="7" t="s">
        <v>140</v>
      </c>
      <c r="I58" s="21" t="s">
        <v>73</v>
      </c>
      <c r="J58" t="str">
        <f t="shared" si="0"/>
        <v>Messaging (Chat)</v>
      </c>
      <c r="K58">
        <f t="shared" si="1"/>
        <v>8</v>
      </c>
    </row>
    <row r="59" spans="1:11" ht="38" customHeight="1" x14ac:dyDescent="0.35">
      <c r="A59" s="2"/>
      <c r="B59" s="9"/>
      <c r="C59" s="4" t="s">
        <v>141</v>
      </c>
      <c r="D59" s="10">
        <v>0</v>
      </c>
      <c r="E59" s="11" t="s">
        <v>20</v>
      </c>
      <c r="F59" s="10">
        <v>0</v>
      </c>
      <c r="G59" s="11" t="s">
        <v>20</v>
      </c>
      <c r="H59" s="7" t="s">
        <v>142</v>
      </c>
      <c r="I59" s="12" t="s">
        <v>119</v>
      </c>
      <c r="J59" t="str">
        <f t="shared" si="0"/>
        <v>Messaging (Chat)</v>
      </c>
      <c r="K59">
        <f t="shared" si="1"/>
        <v>5</v>
      </c>
    </row>
    <row r="60" spans="1:11" ht="38" customHeight="1" x14ac:dyDescent="0.35">
      <c r="A60" s="2"/>
      <c r="B60" s="9"/>
      <c r="C60" s="4" t="s">
        <v>143</v>
      </c>
      <c r="D60" s="19">
        <v>0.6</v>
      </c>
      <c r="E60" s="20" t="s">
        <v>51</v>
      </c>
      <c r="F60" s="14">
        <v>0.55000000000000004</v>
      </c>
      <c r="G60" s="15" t="s">
        <v>33</v>
      </c>
      <c r="H60" s="7" t="s">
        <v>144</v>
      </c>
      <c r="I60" s="13" t="s">
        <v>41</v>
      </c>
      <c r="J60" t="str">
        <f t="shared" si="0"/>
        <v>Messaging (Chat)</v>
      </c>
      <c r="K60">
        <f t="shared" si="1"/>
        <v>2</v>
      </c>
    </row>
    <row r="61" spans="1:11" ht="38" customHeight="1" x14ac:dyDescent="0.35">
      <c r="A61" s="2"/>
      <c r="B61" s="9"/>
      <c r="C61" s="4" t="s">
        <v>145</v>
      </c>
      <c r="D61" s="14">
        <v>0.55000000000000004</v>
      </c>
      <c r="E61" s="15" t="s">
        <v>33</v>
      </c>
      <c r="F61" s="14">
        <v>0.55000000000000004</v>
      </c>
      <c r="G61" s="15" t="s">
        <v>33</v>
      </c>
      <c r="H61" s="7" t="s">
        <v>146</v>
      </c>
      <c r="I61" s="13" t="s">
        <v>27</v>
      </c>
      <c r="J61" t="str">
        <f t="shared" si="0"/>
        <v>Messaging (Chat)</v>
      </c>
      <c r="K61">
        <f t="shared" si="1"/>
        <v>1</v>
      </c>
    </row>
    <row r="62" spans="1:11" ht="38" customHeight="1" x14ac:dyDescent="0.35">
      <c r="A62" s="2"/>
      <c r="B62" s="9"/>
      <c r="C62" s="4" t="s">
        <v>147</v>
      </c>
      <c r="D62" s="19">
        <v>0.6</v>
      </c>
      <c r="E62" s="20" t="s">
        <v>51</v>
      </c>
      <c r="F62" s="19">
        <v>0.6</v>
      </c>
      <c r="G62" s="20" t="s">
        <v>51</v>
      </c>
      <c r="H62" s="7" t="s">
        <v>148</v>
      </c>
      <c r="I62" s="13" t="s">
        <v>27</v>
      </c>
      <c r="J62" t="str">
        <f t="shared" si="0"/>
        <v>Messaging (Chat)</v>
      </c>
      <c r="K62">
        <f t="shared" si="1"/>
        <v>1</v>
      </c>
    </row>
    <row r="63" spans="1:11" ht="38" customHeight="1" x14ac:dyDescent="0.35">
      <c r="A63" s="2"/>
      <c r="B63" s="9"/>
      <c r="C63" s="4" t="s">
        <v>149</v>
      </c>
      <c r="D63" s="10">
        <v>0</v>
      </c>
      <c r="E63" s="11" t="s">
        <v>20</v>
      </c>
      <c r="F63" s="10">
        <v>0</v>
      </c>
      <c r="G63" s="11" t="s">
        <v>20</v>
      </c>
      <c r="H63" s="7" t="s">
        <v>150</v>
      </c>
      <c r="I63" s="21" t="s">
        <v>151</v>
      </c>
      <c r="J63" t="str">
        <f t="shared" si="0"/>
        <v>Messaging (Chat)</v>
      </c>
      <c r="K63">
        <f t="shared" si="1"/>
        <v>6</v>
      </c>
    </row>
    <row r="64" spans="1:11" ht="38" customHeight="1" x14ac:dyDescent="0.35">
      <c r="A64" s="2"/>
      <c r="B64" s="9"/>
      <c r="C64" s="4" t="s">
        <v>152</v>
      </c>
      <c r="D64" s="10">
        <v>0</v>
      </c>
      <c r="E64" s="11" t="s">
        <v>20</v>
      </c>
      <c r="F64" s="10">
        <v>0</v>
      </c>
      <c r="G64" s="11" t="s">
        <v>20</v>
      </c>
      <c r="H64" s="7" t="s">
        <v>153</v>
      </c>
      <c r="I64" s="18" t="s">
        <v>44</v>
      </c>
      <c r="J64" t="str">
        <f t="shared" si="0"/>
        <v>Messaging (Chat)</v>
      </c>
      <c r="K64">
        <f t="shared" si="1"/>
        <v>0</v>
      </c>
    </row>
    <row r="65" spans="1:11" ht="38" customHeight="1" x14ac:dyDescent="0.35">
      <c r="A65" s="2"/>
      <c r="B65" s="3" t="s">
        <v>154</v>
      </c>
      <c r="C65" s="4" t="s">
        <v>155</v>
      </c>
      <c r="D65" s="19">
        <v>0.65</v>
      </c>
      <c r="E65" s="20" t="s">
        <v>51</v>
      </c>
      <c r="F65" s="19">
        <v>0.65</v>
      </c>
      <c r="G65" s="20" t="s">
        <v>51</v>
      </c>
      <c r="H65" s="7" t="s">
        <v>156</v>
      </c>
      <c r="I65" s="13" t="s">
        <v>41</v>
      </c>
      <c r="J65" t="str">
        <f t="shared" si="0"/>
        <v>Live Streaming</v>
      </c>
      <c r="K65">
        <f t="shared" si="1"/>
        <v>2</v>
      </c>
    </row>
    <row r="66" spans="1:11" ht="38" customHeight="1" x14ac:dyDescent="0.35">
      <c r="A66" s="2"/>
      <c r="B66" s="9"/>
      <c r="C66" s="4" t="s">
        <v>157</v>
      </c>
      <c r="D66" s="14">
        <v>0.5</v>
      </c>
      <c r="E66" s="15" t="s">
        <v>33</v>
      </c>
      <c r="F66" s="14">
        <v>0.55000000000000004</v>
      </c>
      <c r="G66" s="15" t="s">
        <v>33</v>
      </c>
      <c r="H66" s="7" t="s">
        <v>158</v>
      </c>
      <c r="I66" s="13" t="s">
        <v>41</v>
      </c>
      <c r="J66" t="str">
        <f t="shared" si="0"/>
        <v>Live Streaming</v>
      </c>
      <c r="K66">
        <f t="shared" si="1"/>
        <v>2</v>
      </c>
    </row>
    <row r="67" spans="1:11" ht="38" customHeight="1" x14ac:dyDescent="0.35">
      <c r="A67" s="2"/>
      <c r="B67" s="9"/>
      <c r="C67" s="4" t="s">
        <v>159</v>
      </c>
      <c r="D67" s="14">
        <v>0.5</v>
      </c>
      <c r="E67" s="15" t="s">
        <v>33</v>
      </c>
      <c r="F67" s="14">
        <v>0.55000000000000004</v>
      </c>
      <c r="G67" s="15" t="s">
        <v>33</v>
      </c>
      <c r="H67" s="7" t="s">
        <v>160</v>
      </c>
      <c r="I67" s="13" t="s">
        <v>41</v>
      </c>
      <c r="J67" t="str">
        <f t="shared" si="0"/>
        <v>Live Streaming</v>
      </c>
      <c r="K67">
        <f t="shared" si="1"/>
        <v>2</v>
      </c>
    </row>
    <row r="68" spans="1:11" ht="38" customHeight="1" x14ac:dyDescent="0.35">
      <c r="A68" s="2"/>
      <c r="B68" s="9"/>
      <c r="C68" s="4" t="s">
        <v>161</v>
      </c>
      <c r="D68" s="19">
        <v>0.65</v>
      </c>
      <c r="E68" s="20" t="s">
        <v>51</v>
      </c>
      <c r="F68" s="19">
        <v>0.65</v>
      </c>
      <c r="G68" s="20" t="s">
        <v>51</v>
      </c>
      <c r="H68" s="7" t="s">
        <v>162</v>
      </c>
      <c r="I68" s="13" t="s">
        <v>41</v>
      </c>
      <c r="J68" t="str">
        <f t="shared" si="0"/>
        <v>Live Streaming</v>
      </c>
      <c r="K68">
        <f t="shared" si="1"/>
        <v>2</v>
      </c>
    </row>
    <row r="69" spans="1:11" ht="38" customHeight="1" x14ac:dyDescent="0.35">
      <c r="A69" s="2"/>
      <c r="B69" s="9"/>
      <c r="C69" s="4" t="s">
        <v>100</v>
      </c>
      <c r="D69" s="14">
        <v>0.55000000000000004</v>
      </c>
      <c r="E69" s="15" t="s">
        <v>33</v>
      </c>
      <c r="F69" s="19">
        <v>0.6</v>
      </c>
      <c r="G69" s="20" t="s">
        <v>51</v>
      </c>
      <c r="H69" s="7" t="s">
        <v>163</v>
      </c>
      <c r="I69" s="13" t="s">
        <v>41</v>
      </c>
      <c r="J69" t="str">
        <f t="shared" si="0"/>
        <v>Live Streaming</v>
      </c>
      <c r="K69">
        <f t="shared" si="1"/>
        <v>2</v>
      </c>
    </row>
    <row r="70" spans="1:11" ht="38" customHeight="1" x14ac:dyDescent="0.35">
      <c r="A70" s="2"/>
      <c r="B70" s="9"/>
      <c r="C70" s="4" t="s">
        <v>164</v>
      </c>
      <c r="D70" s="14">
        <v>0.5</v>
      </c>
      <c r="E70" s="15" t="s">
        <v>33</v>
      </c>
      <c r="F70" s="14">
        <v>0.5</v>
      </c>
      <c r="G70" s="15" t="s">
        <v>33</v>
      </c>
      <c r="H70" s="7" t="s">
        <v>165</v>
      </c>
      <c r="I70" s="13" t="s">
        <v>41</v>
      </c>
      <c r="J70" t="str">
        <f t="shared" ref="J70:J133" si="2">IF($B70&lt;&gt;"",$B70,J69)</f>
        <v>Live Streaming</v>
      </c>
      <c r="K70">
        <f t="shared" ref="K70:K133" si="3">IFERROR(VALUE(LEFT($I70,FIND(" ",$I70&amp;" ")-1)),0)</f>
        <v>2</v>
      </c>
    </row>
    <row r="71" spans="1:11" ht="38" customHeight="1" x14ac:dyDescent="0.35">
      <c r="A71" s="2"/>
      <c r="B71" s="9"/>
      <c r="C71" s="4" t="s">
        <v>166</v>
      </c>
      <c r="D71" s="10">
        <v>0</v>
      </c>
      <c r="E71" s="11" t="s">
        <v>20</v>
      </c>
      <c r="F71" s="16">
        <v>0.2</v>
      </c>
      <c r="G71" s="17" t="s">
        <v>36</v>
      </c>
      <c r="H71" s="7" t="s">
        <v>167</v>
      </c>
      <c r="I71" s="12" t="s">
        <v>22</v>
      </c>
      <c r="J71" t="str">
        <f t="shared" si="2"/>
        <v>Live Streaming</v>
      </c>
      <c r="K71">
        <f t="shared" si="3"/>
        <v>3</v>
      </c>
    </row>
    <row r="72" spans="1:11" ht="38" customHeight="1" x14ac:dyDescent="0.35">
      <c r="A72" s="2"/>
      <c r="B72" s="9"/>
      <c r="C72" s="4" t="s">
        <v>168</v>
      </c>
      <c r="D72" s="10">
        <v>0</v>
      </c>
      <c r="E72" s="11" t="s">
        <v>20</v>
      </c>
      <c r="F72" s="10">
        <v>0</v>
      </c>
      <c r="G72" s="11" t="s">
        <v>20</v>
      </c>
      <c r="H72" s="7" t="s">
        <v>169</v>
      </c>
      <c r="I72" s="18" t="s">
        <v>44</v>
      </c>
      <c r="J72" t="str">
        <f t="shared" si="2"/>
        <v>Live Streaming</v>
      </c>
      <c r="K72">
        <f t="shared" si="3"/>
        <v>0</v>
      </c>
    </row>
    <row r="73" spans="1:11" ht="38" customHeight="1" x14ac:dyDescent="0.35">
      <c r="A73" s="2"/>
      <c r="B73" s="9"/>
      <c r="C73" s="4" t="s">
        <v>170</v>
      </c>
      <c r="D73" s="10">
        <v>0</v>
      </c>
      <c r="E73" s="11" t="s">
        <v>20</v>
      </c>
      <c r="F73" s="10">
        <v>0</v>
      </c>
      <c r="G73" s="11" t="s">
        <v>20</v>
      </c>
      <c r="H73" s="7" t="s">
        <v>142</v>
      </c>
      <c r="I73" s="18" t="s">
        <v>44</v>
      </c>
      <c r="J73" t="str">
        <f t="shared" si="2"/>
        <v>Live Streaming</v>
      </c>
      <c r="K73">
        <f t="shared" si="3"/>
        <v>0</v>
      </c>
    </row>
    <row r="74" spans="1:11" ht="38" customHeight="1" x14ac:dyDescent="0.35">
      <c r="A74" s="2"/>
      <c r="B74" s="3" t="s">
        <v>171</v>
      </c>
      <c r="C74" s="4" t="s">
        <v>172</v>
      </c>
      <c r="D74" s="5">
        <v>0.8</v>
      </c>
      <c r="E74" s="6" t="s">
        <v>16</v>
      </c>
      <c r="F74" s="19">
        <v>0.75</v>
      </c>
      <c r="G74" s="20" t="s">
        <v>51</v>
      </c>
      <c r="H74" s="7" t="s">
        <v>173</v>
      </c>
      <c r="I74" s="8" t="s">
        <v>18</v>
      </c>
      <c r="J74" t="str">
        <f t="shared" si="2"/>
        <v>Stories (24-hour Content)</v>
      </c>
      <c r="K74">
        <f t="shared" si="3"/>
        <v>0</v>
      </c>
    </row>
    <row r="75" spans="1:11" ht="38" customHeight="1" x14ac:dyDescent="0.35">
      <c r="A75" s="2"/>
      <c r="B75" s="9"/>
      <c r="C75" s="4" t="s">
        <v>174</v>
      </c>
      <c r="D75" s="19">
        <v>0.75</v>
      </c>
      <c r="E75" s="20" t="s">
        <v>51</v>
      </c>
      <c r="F75" s="19">
        <v>0.7</v>
      </c>
      <c r="G75" s="20" t="s">
        <v>51</v>
      </c>
      <c r="H75" s="7" t="s">
        <v>175</v>
      </c>
      <c r="I75" s="13" t="s">
        <v>27</v>
      </c>
      <c r="J75" t="str">
        <f t="shared" si="2"/>
        <v>Stories (24-hour Content)</v>
      </c>
      <c r="K75">
        <f t="shared" si="3"/>
        <v>1</v>
      </c>
    </row>
    <row r="76" spans="1:11" ht="38" customHeight="1" x14ac:dyDescent="0.35">
      <c r="A76" s="2"/>
      <c r="B76" s="9"/>
      <c r="C76" s="4" t="s">
        <v>176</v>
      </c>
      <c r="D76" s="19">
        <v>0.6</v>
      </c>
      <c r="E76" s="20" t="s">
        <v>51</v>
      </c>
      <c r="F76" s="14">
        <v>0.55000000000000004</v>
      </c>
      <c r="G76" s="15" t="s">
        <v>33</v>
      </c>
      <c r="H76" s="7" t="s">
        <v>177</v>
      </c>
      <c r="I76" s="13" t="s">
        <v>41</v>
      </c>
      <c r="J76" t="str">
        <f t="shared" si="2"/>
        <v>Stories (24-hour Content)</v>
      </c>
      <c r="K76">
        <f t="shared" si="3"/>
        <v>2</v>
      </c>
    </row>
    <row r="77" spans="1:11" ht="38" customHeight="1" x14ac:dyDescent="0.35">
      <c r="A77" s="2"/>
      <c r="B77" s="9"/>
      <c r="C77" s="4" t="s">
        <v>178</v>
      </c>
      <c r="D77" s="19">
        <v>0.75</v>
      </c>
      <c r="E77" s="20" t="s">
        <v>51</v>
      </c>
      <c r="F77" s="19">
        <v>0.7</v>
      </c>
      <c r="G77" s="20" t="s">
        <v>51</v>
      </c>
      <c r="H77" s="7" t="s">
        <v>179</v>
      </c>
      <c r="I77" s="8" t="s">
        <v>18</v>
      </c>
      <c r="J77" t="str">
        <f t="shared" si="2"/>
        <v>Stories (24-hour Content)</v>
      </c>
      <c r="K77">
        <f t="shared" si="3"/>
        <v>0</v>
      </c>
    </row>
    <row r="78" spans="1:11" ht="38" customHeight="1" x14ac:dyDescent="0.35">
      <c r="A78" s="2"/>
      <c r="B78" s="9"/>
      <c r="C78" s="4" t="s">
        <v>180</v>
      </c>
      <c r="D78" s="16">
        <v>0.2</v>
      </c>
      <c r="E78" s="17" t="s">
        <v>36</v>
      </c>
      <c r="F78" s="16">
        <v>0.1</v>
      </c>
      <c r="G78" s="17" t="s">
        <v>36</v>
      </c>
      <c r="H78" s="7" t="s">
        <v>181</v>
      </c>
      <c r="I78" s="12" t="s">
        <v>22</v>
      </c>
      <c r="J78" t="str">
        <f t="shared" si="2"/>
        <v>Stories (24-hour Content)</v>
      </c>
      <c r="K78">
        <f t="shared" si="3"/>
        <v>3</v>
      </c>
    </row>
    <row r="79" spans="1:11" ht="38" customHeight="1" x14ac:dyDescent="0.35">
      <c r="A79" s="2"/>
      <c r="B79" s="9"/>
      <c r="C79" s="4" t="s">
        <v>182</v>
      </c>
      <c r="D79" s="10">
        <v>0</v>
      </c>
      <c r="E79" s="11" t="s">
        <v>20</v>
      </c>
      <c r="F79" s="10">
        <v>0</v>
      </c>
      <c r="G79" s="11" t="s">
        <v>20</v>
      </c>
      <c r="H79" s="7" t="s">
        <v>169</v>
      </c>
      <c r="I79" s="12" t="s">
        <v>38</v>
      </c>
      <c r="J79" t="str">
        <f t="shared" si="2"/>
        <v>Stories (24-hour Content)</v>
      </c>
      <c r="K79">
        <f t="shared" si="3"/>
        <v>4</v>
      </c>
    </row>
    <row r="80" spans="1:11" ht="38" customHeight="1" x14ac:dyDescent="0.35">
      <c r="A80" s="2"/>
      <c r="B80" s="9"/>
      <c r="C80" s="4" t="s">
        <v>183</v>
      </c>
      <c r="D80" s="14">
        <v>0.4</v>
      </c>
      <c r="E80" s="15" t="s">
        <v>33</v>
      </c>
      <c r="F80" s="14">
        <v>0.35</v>
      </c>
      <c r="G80" s="15" t="s">
        <v>33</v>
      </c>
      <c r="H80" s="7" t="s">
        <v>160</v>
      </c>
      <c r="I80" s="13" t="s">
        <v>41</v>
      </c>
      <c r="J80" t="str">
        <f t="shared" si="2"/>
        <v>Stories (24-hour Content)</v>
      </c>
      <c r="K80">
        <f t="shared" si="3"/>
        <v>2</v>
      </c>
    </row>
    <row r="81" spans="1:11" ht="38" customHeight="1" x14ac:dyDescent="0.35">
      <c r="A81" s="2"/>
      <c r="B81" s="9"/>
      <c r="C81" s="4" t="s">
        <v>184</v>
      </c>
      <c r="D81" s="10">
        <v>0</v>
      </c>
      <c r="E81" s="11" t="s">
        <v>20</v>
      </c>
      <c r="F81" s="10">
        <v>0</v>
      </c>
      <c r="G81" s="11" t="s">
        <v>20</v>
      </c>
      <c r="H81" s="7" t="s">
        <v>169</v>
      </c>
      <c r="I81" s="13" t="s">
        <v>41</v>
      </c>
      <c r="J81" t="str">
        <f t="shared" si="2"/>
        <v>Stories (24-hour Content)</v>
      </c>
      <c r="K81">
        <f t="shared" si="3"/>
        <v>2</v>
      </c>
    </row>
    <row r="82" spans="1:11" ht="38" customHeight="1" x14ac:dyDescent="0.35">
      <c r="A82" s="2"/>
      <c r="B82" s="9"/>
      <c r="C82" s="4" t="s">
        <v>185</v>
      </c>
      <c r="D82" s="10">
        <v>0</v>
      </c>
      <c r="E82" s="11" t="s">
        <v>20</v>
      </c>
      <c r="F82" s="10">
        <v>0</v>
      </c>
      <c r="G82" s="11" t="s">
        <v>20</v>
      </c>
      <c r="H82" s="7" t="s">
        <v>142</v>
      </c>
      <c r="I82" s="12" t="s">
        <v>22</v>
      </c>
      <c r="J82" t="str">
        <f t="shared" si="2"/>
        <v>Stories (24-hour Content)</v>
      </c>
      <c r="K82">
        <f t="shared" si="3"/>
        <v>3</v>
      </c>
    </row>
    <row r="83" spans="1:11" ht="38" customHeight="1" x14ac:dyDescent="0.35">
      <c r="A83" s="2"/>
      <c r="B83" s="9"/>
      <c r="C83" s="4" t="s">
        <v>186</v>
      </c>
      <c r="D83" s="10">
        <v>0</v>
      </c>
      <c r="E83" s="11" t="s">
        <v>20</v>
      </c>
      <c r="F83" s="10">
        <v>0</v>
      </c>
      <c r="G83" s="11" t="s">
        <v>20</v>
      </c>
      <c r="H83" s="7" t="s">
        <v>187</v>
      </c>
      <c r="I83" s="12" t="s">
        <v>22</v>
      </c>
      <c r="J83" t="str">
        <f t="shared" si="2"/>
        <v>Stories (24-hour Content)</v>
      </c>
      <c r="K83">
        <f t="shared" si="3"/>
        <v>3</v>
      </c>
    </row>
    <row r="84" spans="1:11" ht="38" customHeight="1" x14ac:dyDescent="0.35">
      <c r="A84" s="2"/>
      <c r="B84" s="3" t="s">
        <v>188</v>
      </c>
      <c r="C84" s="4" t="s">
        <v>189</v>
      </c>
      <c r="D84" s="19">
        <v>0.6</v>
      </c>
      <c r="E84" s="20" t="s">
        <v>51</v>
      </c>
      <c r="F84" s="19">
        <v>0.65</v>
      </c>
      <c r="G84" s="20" t="s">
        <v>51</v>
      </c>
      <c r="H84" s="7" t="s">
        <v>190</v>
      </c>
      <c r="I84" s="13" t="s">
        <v>41</v>
      </c>
      <c r="J84" t="str">
        <f t="shared" si="2"/>
        <v>Groups &amp; Community</v>
      </c>
      <c r="K84">
        <f t="shared" si="3"/>
        <v>2</v>
      </c>
    </row>
    <row r="85" spans="1:11" ht="38" customHeight="1" x14ac:dyDescent="0.35">
      <c r="A85" s="2"/>
      <c r="B85" s="9"/>
      <c r="C85" s="4" t="s">
        <v>191</v>
      </c>
      <c r="D85" s="14">
        <v>0.4</v>
      </c>
      <c r="E85" s="15" t="s">
        <v>33</v>
      </c>
      <c r="F85" s="14">
        <v>0.5</v>
      </c>
      <c r="G85" s="15" t="s">
        <v>33</v>
      </c>
      <c r="H85" s="7" t="s">
        <v>192</v>
      </c>
      <c r="I85" s="12" t="s">
        <v>22</v>
      </c>
      <c r="J85" t="str">
        <f t="shared" si="2"/>
        <v>Groups &amp; Community</v>
      </c>
      <c r="K85">
        <f t="shared" si="3"/>
        <v>3</v>
      </c>
    </row>
    <row r="86" spans="1:11" ht="38" customHeight="1" x14ac:dyDescent="0.35">
      <c r="A86" s="2"/>
      <c r="B86" s="9"/>
      <c r="C86" s="4" t="s">
        <v>193</v>
      </c>
      <c r="D86" s="16">
        <v>0.2</v>
      </c>
      <c r="E86" s="17" t="s">
        <v>36</v>
      </c>
      <c r="F86" s="14">
        <v>0.35</v>
      </c>
      <c r="G86" s="15" t="s">
        <v>33</v>
      </c>
      <c r="H86" s="7" t="s">
        <v>194</v>
      </c>
      <c r="I86" s="12" t="s">
        <v>22</v>
      </c>
      <c r="J86" t="str">
        <f t="shared" si="2"/>
        <v>Groups &amp; Community</v>
      </c>
      <c r="K86">
        <f t="shared" si="3"/>
        <v>3</v>
      </c>
    </row>
    <row r="87" spans="1:11" ht="38" customHeight="1" x14ac:dyDescent="0.35">
      <c r="A87" s="2"/>
      <c r="B87" s="9"/>
      <c r="C87" s="4" t="s">
        <v>195</v>
      </c>
      <c r="D87" s="10">
        <v>0</v>
      </c>
      <c r="E87" s="11" t="s">
        <v>20</v>
      </c>
      <c r="F87" s="10">
        <v>0</v>
      </c>
      <c r="G87" s="11" t="s">
        <v>20</v>
      </c>
      <c r="H87" s="7" t="s">
        <v>142</v>
      </c>
      <c r="I87" s="13" t="s">
        <v>41</v>
      </c>
      <c r="J87" t="str">
        <f t="shared" si="2"/>
        <v>Groups &amp; Community</v>
      </c>
      <c r="K87">
        <f t="shared" si="3"/>
        <v>2</v>
      </c>
    </row>
    <row r="88" spans="1:11" ht="38" customHeight="1" x14ac:dyDescent="0.35">
      <c r="A88" s="2"/>
      <c r="B88" s="9"/>
      <c r="C88" s="4" t="s">
        <v>196</v>
      </c>
      <c r="D88" s="10">
        <v>0</v>
      </c>
      <c r="E88" s="11" t="s">
        <v>20</v>
      </c>
      <c r="F88" s="10">
        <v>0</v>
      </c>
      <c r="G88" s="11" t="s">
        <v>20</v>
      </c>
      <c r="H88" s="7" t="s">
        <v>142</v>
      </c>
      <c r="I88" s="18" t="s">
        <v>44</v>
      </c>
      <c r="J88" t="str">
        <f t="shared" si="2"/>
        <v>Groups &amp; Community</v>
      </c>
      <c r="K88">
        <f t="shared" si="3"/>
        <v>0</v>
      </c>
    </row>
    <row r="89" spans="1:11" ht="38" customHeight="1" x14ac:dyDescent="0.35">
      <c r="A89" s="2"/>
      <c r="B89" s="9"/>
      <c r="C89" s="4" t="s">
        <v>127</v>
      </c>
      <c r="D89" s="5">
        <v>0.8</v>
      </c>
      <c r="E89" s="6" t="s">
        <v>16</v>
      </c>
      <c r="F89" s="19">
        <v>0.75</v>
      </c>
      <c r="G89" s="20" t="s">
        <v>51</v>
      </c>
      <c r="H89" s="7" t="s">
        <v>197</v>
      </c>
      <c r="I89" s="8" t="s">
        <v>18</v>
      </c>
      <c r="J89" t="str">
        <f t="shared" si="2"/>
        <v>Groups &amp; Community</v>
      </c>
      <c r="K89">
        <f t="shared" si="3"/>
        <v>0</v>
      </c>
    </row>
    <row r="90" spans="1:11" ht="38" customHeight="1" x14ac:dyDescent="0.35">
      <c r="A90" s="2"/>
      <c r="B90" s="9"/>
      <c r="C90" s="4" t="s">
        <v>198</v>
      </c>
      <c r="D90" s="14">
        <v>0.3</v>
      </c>
      <c r="E90" s="15" t="s">
        <v>33</v>
      </c>
      <c r="F90" s="14">
        <v>0.4</v>
      </c>
      <c r="G90" s="15" t="s">
        <v>33</v>
      </c>
      <c r="H90" s="7" t="s">
        <v>160</v>
      </c>
      <c r="I90" s="13" t="s">
        <v>41</v>
      </c>
      <c r="J90" t="str">
        <f t="shared" si="2"/>
        <v>Groups &amp; Community</v>
      </c>
      <c r="K90">
        <f t="shared" si="3"/>
        <v>2</v>
      </c>
    </row>
    <row r="91" spans="1:11" ht="38" customHeight="1" x14ac:dyDescent="0.35">
      <c r="A91" s="2"/>
      <c r="B91" s="9"/>
      <c r="C91" s="4" t="s">
        <v>199</v>
      </c>
      <c r="D91" s="10">
        <v>0</v>
      </c>
      <c r="E91" s="11" t="s">
        <v>20</v>
      </c>
      <c r="F91" s="10">
        <v>0</v>
      </c>
      <c r="G91" s="11" t="s">
        <v>20</v>
      </c>
      <c r="H91" s="7" t="s">
        <v>169</v>
      </c>
      <c r="I91" s="12" t="s">
        <v>38</v>
      </c>
      <c r="J91" t="str">
        <f t="shared" si="2"/>
        <v>Groups &amp; Community</v>
      </c>
      <c r="K91">
        <f t="shared" si="3"/>
        <v>4</v>
      </c>
    </row>
    <row r="92" spans="1:11" ht="38" customHeight="1" x14ac:dyDescent="0.35">
      <c r="A92" s="2"/>
      <c r="B92" s="3" t="s">
        <v>200</v>
      </c>
      <c r="C92" s="4" t="s">
        <v>201</v>
      </c>
      <c r="D92" s="10">
        <v>0</v>
      </c>
      <c r="E92" s="11" t="s">
        <v>20</v>
      </c>
      <c r="F92" s="16">
        <v>0.1</v>
      </c>
      <c r="G92" s="17" t="s">
        <v>36</v>
      </c>
      <c r="H92" s="7" t="s">
        <v>202</v>
      </c>
      <c r="I92" s="12" t="s">
        <v>119</v>
      </c>
      <c r="J92" t="str">
        <f t="shared" si="2"/>
        <v>Pages / Creator / Business</v>
      </c>
      <c r="K92">
        <f t="shared" si="3"/>
        <v>5</v>
      </c>
    </row>
    <row r="93" spans="1:11" ht="38" customHeight="1" x14ac:dyDescent="0.35">
      <c r="A93" s="2"/>
      <c r="B93" s="9"/>
      <c r="C93" s="4" t="s">
        <v>203</v>
      </c>
      <c r="D93" s="10">
        <v>0</v>
      </c>
      <c r="E93" s="11" t="s">
        <v>20</v>
      </c>
      <c r="F93" s="10">
        <v>0</v>
      </c>
      <c r="G93" s="11" t="s">
        <v>20</v>
      </c>
      <c r="H93" s="7" t="s">
        <v>204</v>
      </c>
      <c r="I93" s="21" t="s">
        <v>151</v>
      </c>
      <c r="J93" t="str">
        <f t="shared" si="2"/>
        <v>Pages / Creator / Business</v>
      </c>
      <c r="K93">
        <f t="shared" si="3"/>
        <v>6</v>
      </c>
    </row>
    <row r="94" spans="1:11" ht="38" customHeight="1" x14ac:dyDescent="0.35">
      <c r="A94" s="2"/>
      <c r="B94" s="9"/>
      <c r="C94" s="4" t="s">
        <v>205</v>
      </c>
      <c r="D94" s="10">
        <v>0</v>
      </c>
      <c r="E94" s="11" t="s">
        <v>20</v>
      </c>
      <c r="F94" s="16">
        <v>0.2</v>
      </c>
      <c r="G94" s="17" t="s">
        <v>36</v>
      </c>
      <c r="H94" s="7" t="s">
        <v>206</v>
      </c>
      <c r="I94" s="12" t="s">
        <v>119</v>
      </c>
      <c r="J94" t="str">
        <f t="shared" si="2"/>
        <v>Pages / Creator / Business</v>
      </c>
      <c r="K94">
        <f t="shared" si="3"/>
        <v>5</v>
      </c>
    </row>
    <row r="95" spans="1:11" ht="38" customHeight="1" x14ac:dyDescent="0.35">
      <c r="A95" s="2"/>
      <c r="B95" s="9"/>
      <c r="C95" s="4" t="s">
        <v>207</v>
      </c>
      <c r="D95" s="10">
        <v>0</v>
      </c>
      <c r="E95" s="11" t="s">
        <v>20</v>
      </c>
      <c r="F95" s="16">
        <v>0.2</v>
      </c>
      <c r="G95" s="17" t="s">
        <v>36</v>
      </c>
      <c r="H95" s="7" t="s">
        <v>208</v>
      </c>
      <c r="I95" s="21" t="s">
        <v>151</v>
      </c>
      <c r="J95" t="str">
        <f t="shared" si="2"/>
        <v>Pages / Creator / Business</v>
      </c>
      <c r="K95">
        <f t="shared" si="3"/>
        <v>6</v>
      </c>
    </row>
    <row r="96" spans="1:11" ht="38" customHeight="1" x14ac:dyDescent="0.35">
      <c r="A96" s="2"/>
      <c r="B96" s="9"/>
      <c r="C96" s="4" t="s">
        <v>209</v>
      </c>
      <c r="D96" s="10">
        <v>0</v>
      </c>
      <c r="E96" s="11" t="s">
        <v>20</v>
      </c>
      <c r="F96" s="10">
        <v>0</v>
      </c>
      <c r="G96" s="11" t="s">
        <v>20</v>
      </c>
      <c r="H96" s="7" t="s">
        <v>142</v>
      </c>
      <c r="I96" s="12" t="s">
        <v>22</v>
      </c>
      <c r="J96" t="str">
        <f t="shared" si="2"/>
        <v>Pages / Creator / Business</v>
      </c>
      <c r="K96">
        <f t="shared" si="3"/>
        <v>3</v>
      </c>
    </row>
    <row r="97" spans="1:11" ht="38" customHeight="1" x14ac:dyDescent="0.35">
      <c r="A97" s="2"/>
      <c r="B97" s="9"/>
      <c r="C97" s="4" t="s">
        <v>210</v>
      </c>
      <c r="D97" s="10">
        <v>0</v>
      </c>
      <c r="E97" s="11" t="s">
        <v>20</v>
      </c>
      <c r="F97" s="16">
        <v>0.1</v>
      </c>
      <c r="G97" s="17" t="s">
        <v>36</v>
      </c>
      <c r="H97" s="7" t="s">
        <v>211</v>
      </c>
      <c r="I97" s="12" t="s">
        <v>22</v>
      </c>
      <c r="J97" t="str">
        <f t="shared" si="2"/>
        <v>Pages / Creator / Business</v>
      </c>
      <c r="K97">
        <f t="shared" si="3"/>
        <v>3</v>
      </c>
    </row>
    <row r="98" spans="1:11" ht="38" customHeight="1" x14ac:dyDescent="0.35">
      <c r="A98" s="2"/>
      <c r="B98" s="9"/>
      <c r="C98" s="4" t="s">
        <v>212</v>
      </c>
      <c r="D98" s="10">
        <v>0</v>
      </c>
      <c r="E98" s="11" t="s">
        <v>20</v>
      </c>
      <c r="F98" s="10">
        <v>0</v>
      </c>
      <c r="G98" s="11" t="s">
        <v>20</v>
      </c>
      <c r="H98" s="7" t="s">
        <v>142</v>
      </c>
      <c r="I98" s="18" t="s">
        <v>44</v>
      </c>
      <c r="J98" t="str">
        <f t="shared" si="2"/>
        <v>Pages / Creator / Business</v>
      </c>
      <c r="K98">
        <f t="shared" si="3"/>
        <v>0</v>
      </c>
    </row>
    <row r="99" spans="1:11" ht="38" customHeight="1" x14ac:dyDescent="0.35">
      <c r="A99" s="2"/>
      <c r="B99" s="9"/>
      <c r="C99" s="4" t="s">
        <v>213</v>
      </c>
      <c r="D99" s="10">
        <v>0</v>
      </c>
      <c r="E99" s="11" t="s">
        <v>20</v>
      </c>
      <c r="F99" s="10">
        <v>0</v>
      </c>
      <c r="G99" s="11" t="s">
        <v>20</v>
      </c>
      <c r="H99" s="7" t="s">
        <v>142</v>
      </c>
      <c r="I99" s="18" t="s">
        <v>44</v>
      </c>
      <c r="J99" t="str">
        <f t="shared" si="2"/>
        <v>Pages / Creator / Business</v>
      </c>
      <c r="K99">
        <f t="shared" si="3"/>
        <v>0</v>
      </c>
    </row>
    <row r="100" spans="1:11" ht="38" customHeight="1" x14ac:dyDescent="0.35">
      <c r="A100" s="2"/>
      <c r="B100" s="3" t="s">
        <v>214</v>
      </c>
      <c r="C100" s="4" t="s">
        <v>215</v>
      </c>
      <c r="D100" s="19">
        <v>0.7</v>
      </c>
      <c r="E100" s="20" t="s">
        <v>51</v>
      </c>
      <c r="F100" s="19">
        <v>0.7</v>
      </c>
      <c r="G100" s="20" t="s">
        <v>51</v>
      </c>
      <c r="H100" s="7" t="s">
        <v>216</v>
      </c>
      <c r="I100" s="8" t="s">
        <v>18</v>
      </c>
      <c r="J100" t="str">
        <f t="shared" si="2"/>
        <v>Discovery &amp; Search</v>
      </c>
      <c r="K100">
        <f t="shared" si="3"/>
        <v>0</v>
      </c>
    </row>
    <row r="101" spans="1:11" ht="38" customHeight="1" x14ac:dyDescent="0.35">
      <c r="A101" s="2"/>
      <c r="B101" s="9"/>
      <c r="C101" s="4" t="s">
        <v>217</v>
      </c>
      <c r="D101" s="14">
        <v>0.5</v>
      </c>
      <c r="E101" s="15" t="s">
        <v>33</v>
      </c>
      <c r="F101" s="14">
        <v>0.55000000000000004</v>
      </c>
      <c r="G101" s="15" t="s">
        <v>33</v>
      </c>
      <c r="H101" s="7" t="s">
        <v>218</v>
      </c>
      <c r="I101" s="13" t="s">
        <v>41</v>
      </c>
      <c r="J101" t="str">
        <f t="shared" si="2"/>
        <v>Discovery &amp; Search</v>
      </c>
      <c r="K101">
        <f t="shared" si="3"/>
        <v>2</v>
      </c>
    </row>
    <row r="102" spans="1:11" ht="38" customHeight="1" x14ac:dyDescent="0.35">
      <c r="A102" s="2"/>
      <c r="B102" s="9"/>
      <c r="C102" s="4" t="s">
        <v>219</v>
      </c>
      <c r="D102" s="14">
        <v>0.4</v>
      </c>
      <c r="E102" s="15" t="s">
        <v>33</v>
      </c>
      <c r="F102" s="14">
        <v>0.45</v>
      </c>
      <c r="G102" s="15" t="s">
        <v>33</v>
      </c>
      <c r="H102" s="7" t="s">
        <v>160</v>
      </c>
      <c r="I102" s="13" t="s">
        <v>41</v>
      </c>
      <c r="J102" t="str">
        <f t="shared" si="2"/>
        <v>Discovery &amp; Search</v>
      </c>
      <c r="K102">
        <f t="shared" si="3"/>
        <v>2</v>
      </c>
    </row>
    <row r="103" spans="1:11" ht="38" customHeight="1" x14ac:dyDescent="0.35">
      <c r="A103" s="2"/>
      <c r="B103" s="9"/>
      <c r="C103" s="4" t="s">
        <v>220</v>
      </c>
      <c r="D103" s="16">
        <v>0.2</v>
      </c>
      <c r="E103" s="17" t="s">
        <v>36</v>
      </c>
      <c r="F103" s="16">
        <v>0.25</v>
      </c>
      <c r="G103" s="17" t="s">
        <v>36</v>
      </c>
      <c r="H103" s="7" t="s">
        <v>221</v>
      </c>
      <c r="I103" s="12" t="s">
        <v>22</v>
      </c>
      <c r="J103" t="str">
        <f t="shared" si="2"/>
        <v>Discovery &amp; Search</v>
      </c>
      <c r="K103">
        <f t="shared" si="3"/>
        <v>3</v>
      </c>
    </row>
    <row r="104" spans="1:11" ht="38" customHeight="1" x14ac:dyDescent="0.35">
      <c r="A104" s="2"/>
      <c r="B104" s="9"/>
      <c r="C104" s="4" t="s">
        <v>222</v>
      </c>
      <c r="D104" s="14">
        <v>0.3</v>
      </c>
      <c r="E104" s="15" t="s">
        <v>33</v>
      </c>
      <c r="F104" s="14">
        <v>0.3</v>
      </c>
      <c r="G104" s="15" t="s">
        <v>33</v>
      </c>
      <c r="H104" s="7" t="s">
        <v>223</v>
      </c>
      <c r="I104" s="13" t="s">
        <v>41</v>
      </c>
      <c r="J104" t="str">
        <f t="shared" si="2"/>
        <v>Discovery &amp; Search</v>
      </c>
      <c r="K104">
        <f t="shared" si="3"/>
        <v>2</v>
      </c>
    </row>
    <row r="105" spans="1:11" ht="38" customHeight="1" x14ac:dyDescent="0.35">
      <c r="A105" s="2"/>
      <c r="B105" s="9"/>
      <c r="C105" s="4" t="s">
        <v>224</v>
      </c>
      <c r="D105" s="14">
        <v>0.5</v>
      </c>
      <c r="E105" s="15" t="s">
        <v>33</v>
      </c>
      <c r="F105" s="14">
        <v>0.5</v>
      </c>
      <c r="G105" s="15" t="s">
        <v>33</v>
      </c>
      <c r="H105" s="7" t="s">
        <v>225</v>
      </c>
      <c r="I105" s="13" t="s">
        <v>41</v>
      </c>
      <c r="J105" t="str">
        <f t="shared" si="2"/>
        <v>Discovery &amp; Search</v>
      </c>
      <c r="K105">
        <f t="shared" si="3"/>
        <v>2</v>
      </c>
    </row>
    <row r="106" spans="1:11" ht="38" customHeight="1" x14ac:dyDescent="0.35">
      <c r="A106" s="2"/>
      <c r="B106" s="9"/>
      <c r="C106" s="4" t="s">
        <v>226</v>
      </c>
      <c r="D106" s="16">
        <v>0.2</v>
      </c>
      <c r="E106" s="17" t="s">
        <v>36</v>
      </c>
      <c r="F106" s="16">
        <v>0.2</v>
      </c>
      <c r="G106" s="17" t="s">
        <v>36</v>
      </c>
      <c r="H106" s="7" t="s">
        <v>227</v>
      </c>
      <c r="I106" s="12" t="s">
        <v>22</v>
      </c>
      <c r="J106" t="str">
        <f t="shared" si="2"/>
        <v>Discovery &amp; Search</v>
      </c>
      <c r="K106">
        <f t="shared" si="3"/>
        <v>3</v>
      </c>
    </row>
    <row r="107" spans="1:11" ht="38" customHeight="1" x14ac:dyDescent="0.35">
      <c r="A107" s="2"/>
      <c r="B107" s="3" t="s">
        <v>228</v>
      </c>
      <c r="C107" s="4" t="s">
        <v>229</v>
      </c>
      <c r="D107" s="14">
        <v>0.3</v>
      </c>
      <c r="E107" s="15" t="s">
        <v>33</v>
      </c>
      <c r="F107" s="14">
        <v>0.4</v>
      </c>
      <c r="G107" s="15" t="s">
        <v>33</v>
      </c>
      <c r="H107" s="7" t="s">
        <v>230</v>
      </c>
      <c r="I107" s="12" t="s">
        <v>38</v>
      </c>
      <c r="J107" t="str">
        <f t="shared" si="2"/>
        <v>Notifications</v>
      </c>
      <c r="K107">
        <f t="shared" si="3"/>
        <v>4</v>
      </c>
    </row>
    <row r="108" spans="1:11" ht="38" customHeight="1" x14ac:dyDescent="0.35">
      <c r="A108" s="2"/>
      <c r="B108" s="9"/>
      <c r="C108" s="4" t="s">
        <v>231</v>
      </c>
      <c r="D108" s="10">
        <v>0</v>
      </c>
      <c r="E108" s="11" t="s">
        <v>20</v>
      </c>
      <c r="F108" s="16">
        <v>0.2</v>
      </c>
      <c r="G108" s="17" t="s">
        <v>36</v>
      </c>
      <c r="H108" s="7" t="s">
        <v>232</v>
      </c>
      <c r="I108" s="13" t="s">
        <v>41</v>
      </c>
      <c r="J108" t="str">
        <f t="shared" si="2"/>
        <v>Notifications</v>
      </c>
      <c r="K108">
        <f t="shared" si="3"/>
        <v>2</v>
      </c>
    </row>
    <row r="109" spans="1:11" ht="38" customHeight="1" x14ac:dyDescent="0.35">
      <c r="A109" s="2"/>
      <c r="B109" s="9"/>
      <c r="C109" s="4" t="s">
        <v>233</v>
      </c>
      <c r="D109" s="10">
        <v>0</v>
      </c>
      <c r="E109" s="11" t="s">
        <v>20</v>
      </c>
      <c r="F109" s="10">
        <v>0</v>
      </c>
      <c r="G109" s="11" t="s">
        <v>20</v>
      </c>
      <c r="H109" s="7" t="s">
        <v>169</v>
      </c>
      <c r="I109" s="13" t="s">
        <v>41</v>
      </c>
      <c r="J109" t="str">
        <f t="shared" si="2"/>
        <v>Notifications</v>
      </c>
      <c r="K109">
        <f t="shared" si="3"/>
        <v>2</v>
      </c>
    </row>
    <row r="110" spans="1:11" ht="38" customHeight="1" x14ac:dyDescent="0.35">
      <c r="A110" s="2"/>
      <c r="B110" s="9"/>
      <c r="C110" s="4" t="s">
        <v>234</v>
      </c>
      <c r="D110" s="10">
        <v>0</v>
      </c>
      <c r="E110" s="11" t="s">
        <v>20</v>
      </c>
      <c r="F110" s="10">
        <v>0</v>
      </c>
      <c r="G110" s="11" t="s">
        <v>20</v>
      </c>
      <c r="H110" s="7" t="s">
        <v>142</v>
      </c>
      <c r="I110" s="13" t="s">
        <v>41</v>
      </c>
      <c r="J110" t="str">
        <f t="shared" si="2"/>
        <v>Notifications</v>
      </c>
      <c r="K110">
        <f t="shared" si="3"/>
        <v>2</v>
      </c>
    </row>
    <row r="111" spans="1:11" ht="38" customHeight="1" x14ac:dyDescent="0.35">
      <c r="A111" s="2"/>
      <c r="B111" s="9"/>
      <c r="C111" s="4" t="s">
        <v>235</v>
      </c>
      <c r="D111" s="14">
        <v>0.3</v>
      </c>
      <c r="E111" s="15" t="s">
        <v>33</v>
      </c>
      <c r="F111" s="14">
        <v>0.4</v>
      </c>
      <c r="G111" s="15" t="s">
        <v>33</v>
      </c>
      <c r="H111" s="7" t="s">
        <v>236</v>
      </c>
      <c r="I111" s="12" t="s">
        <v>22</v>
      </c>
      <c r="J111" t="str">
        <f t="shared" si="2"/>
        <v>Notifications</v>
      </c>
      <c r="K111">
        <f t="shared" si="3"/>
        <v>3</v>
      </c>
    </row>
    <row r="112" spans="1:11" ht="38" customHeight="1" x14ac:dyDescent="0.35">
      <c r="A112" s="2"/>
      <c r="B112" s="9"/>
      <c r="C112" s="4" t="s">
        <v>237</v>
      </c>
      <c r="D112" s="10">
        <v>0</v>
      </c>
      <c r="E112" s="11" t="s">
        <v>20</v>
      </c>
      <c r="F112" s="10">
        <v>0</v>
      </c>
      <c r="G112" s="11" t="s">
        <v>20</v>
      </c>
      <c r="H112" s="7" t="s">
        <v>169</v>
      </c>
      <c r="I112" s="13" t="s">
        <v>41</v>
      </c>
      <c r="J112" t="str">
        <f t="shared" si="2"/>
        <v>Notifications</v>
      </c>
      <c r="K112">
        <f t="shared" si="3"/>
        <v>2</v>
      </c>
    </row>
    <row r="113" spans="1:11" ht="38" customHeight="1" x14ac:dyDescent="0.35">
      <c r="A113" s="2"/>
      <c r="B113" s="9"/>
      <c r="C113" s="4" t="s">
        <v>238</v>
      </c>
      <c r="D113" s="10">
        <v>0</v>
      </c>
      <c r="E113" s="11" t="s">
        <v>20</v>
      </c>
      <c r="F113" s="10">
        <v>0</v>
      </c>
      <c r="G113" s="11" t="s">
        <v>20</v>
      </c>
      <c r="H113" s="7" t="s">
        <v>239</v>
      </c>
      <c r="I113" s="12" t="s">
        <v>22</v>
      </c>
      <c r="J113" t="str">
        <f t="shared" si="2"/>
        <v>Notifications</v>
      </c>
      <c r="K113">
        <f t="shared" si="3"/>
        <v>3</v>
      </c>
    </row>
    <row r="114" spans="1:11" ht="38" customHeight="1" x14ac:dyDescent="0.35">
      <c r="A114" s="2"/>
      <c r="B114" s="3" t="s">
        <v>240</v>
      </c>
      <c r="C114" s="4" t="s">
        <v>241</v>
      </c>
      <c r="D114" s="14">
        <v>0.4</v>
      </c>
      <c r="E114" s="15" t="s">
        <v>33</v>
      </c>
      <c r="F114" s="14">
        <v>0.5</v>
      </c>
      <c r="G114" s="15" t="s">
        <v>33</v>
      </c>
      <c r="H114" s="7" t="s">
        <v>242</v>
      </c>
      <c r="I114" s="13" t="s">
        <v>41</v>
      </c>
      <c r="J114" t="str">
        <f t="shared" si="2"/>
        <v>Safety &amp; Privacy</v>
      </c>
      <c r="K114">
        <f t="shared" si="3"/>
        <v>2</v>
      </c>
    </row>
    <row r="115" spans="1:11" ht="38" customHeight="1" x14ac:dyDescent="0.35">
      <c r="A115" s="2"/>
      <c r="B115" s="9"/>
      <c r="C115" s="4" t="s">
        <v>243</v>
      </c>
      <c r="D115" s="14">
        <v>0.3</v>
      </c>
      <c r="E115" s="15" t="s">
        <v>33</v>
      </c>
      <c r="F115" s="14">
        <v>0.4</v>
      </c>
      <c r="G115" s="15" t="s">
        <v>33</v>
      </c>
      <c r="H115" s="7" t="s">
        <v>160</v>
      </c>
      <c r="I115" s="13" t="s">
        <v>27</v>
      </c>
      <c r="J115" t="str">
        <f t="shared" si="2"/>
        <v>Safety &amp; Privacy</v>
      </c>
      <c r="K115">
        <f t="shared" si="3"/>
        <v>1</v>
      </c>
    </row>
    <row r="116" spans="1:11" ht="38" customHeight="1" x14ac:dyDescent="0.35">
      <c r="A116" s="2"/>
      <c r="B116" s="9"/>
      <c r="C116" s="4" t="s">
        <v>244</v>
      </c>
      <c r="D116" s="16">
        <v>0.2</v>
      </c>
      <c r="E116" s="17" t="s">
        <v>36</v>
      </c>
      <c r="F116" s="16">
        <v>0.25</v>
      </c>
      <c r="G116" s="17" t="s">
        <v>36</v>
      </c>
      <c r="H116" s="7" t="s">
        <v>160</v>
      </c>
      <c r="I116" s="13" t="s">
        <v>27</v>
      </c>
      <c r="J116" t="str">
        <f t="shared" si="2"/>
        <v>Safety &amp; Privacy</v>
      </c>
      <c r="K116">
        <f t="shared" si="3"/>
        <v>1</v>
      </c>
    </row>
    <row r="117" spans="1:11" ht="38" customHeight="1" x14ac:dyDescent="0.35">
      <c r="A117" s="2"/>
      <c r="B117" s="9"/>
      <c r="C117" s="4" t="s">
        <v>245</v>
      </c>
      <c r="D117" s="10">
        <v>0</v>
      </c>
      <c r="E117" s="11" t="s">
        <v>20</v>
      </c>
      <c r="F117" s="10">
        <v>0</v>
      </c>
      <c r="G117" s="11" t="s">
        <v>20</v>
      </c>
      <c r="H117" s="7" t="s">
        <v>169</v>
      </c>
      <c r="I117" s="13" t="s">
        <v>41</v>
      </c>
      <c r="J117" t="str">
        <f t="shared" si="2"/>
        <v>Safety &amp; Privacy</v>
      </c>
      <c r="K117">
        <f t="shared" si="3"/>
        <v>2</v>
      </c>
    </row>
    <row r="118" spans="1:11" ht="38" customHeight="1" x14ac:dyDescent="0.35">
      <c r="A118" s="2"/>
      <c r="B118" s="9"/>
      <c r="C118" s="4" t="s">
        <v>246</v>
      </c>
      <c r="D118" s="10">
        <v>0</v>
      </c>
      <c r="E118" s="11" t="s">
        <v>20</v>
      </c>
      <c r="F118" s="10">
        <v>0</v>
      </c>
      <c r="G118" s="11" t="s">
        <v>20</v>
      </c>
      <c r="H118" s="7" t="s">
        <v>142</v>
      </c>
      <c r="I118" s="18" t="s">
        <v>44</v>
      </c>
      <c r="J118" t="str">
        <f t="shared" si="2"/>
        <v>Safety &amp; Privacy</v>
      </c>
      <c r="K118">
        <f t="shared" si="3"/>
        <v>0</v>
      </c>
    </row>
    <row r="119" spans="1:11" ht="38" customHeight="1" x14ac:dyDescent="0.35">
      <c r="A119" s="2"/>
      <c r="B119" s="9"/>
      <c r="C119" s="4" t="s">
        <v>247</v>
      </c>
      <c r="D119" s="10">
        <v>0</v>
      </c>
      <c r="E119" s="11" t="s">
        <v>20</v>
      </c>
      <c r="F119" s="10">
        <v>0</v>
      </c>
      <c r="G119" s="11" t="s">
        <v>20</v>
      </c>
      <c r="H119" s="7" t="s">
        <v>169</v>
      </c>
      <c r="I119" s="13" t="s">
        <v>41</v>
      </c>
      <c r="J119" t="str">
        <f t="shared" si="2"/>
        <v>Safety &amp; Privacy</v>
      </c>
      <c r="K119">
        <f t="shared" si="3"/>
        <v>2</v>
      </c>
    </row>
    <row r="120" spans="1:11" ht="38" customHeight="1" x14ac:dyDescent="0.35">
      <c r="A120" s="2"/>
      <c r="B120" s="9"/>
      <c r="C120" s="4" t="s">
        <v>248</v>
      </c>
      <c r="D120" s="10">
        <v>0</v>
      </c>
      <c r="E120" s="11" t="s">
        <v>20</v>
      </c>
      <c r="F120" s="10">
        <v>0</v>
      </c>
      <c r="G120" s="11" t="s">
        <v>20</v>
      </c>
      <c r="H120" s="7" t="s">
        <v>142</v>
      </c>
      <c r="I120" s="18" t="s">
        <v>44</v>
      </c>
      <c r="J120" t="str">
        <f t="shared" si="2"/>
        <v>Safety &amp; Privacy</v>
      </c>
      <c r="K120">
        <f t="shared" si="3"/>
        <v>0</v>
      </c>
    </row>
    <row r="121" spans="1:11" ht="38" customHeight="1" x14ac:dyDescent="0.35">
      <c r="A121" s="2"/>
      <c r="B121" s="9"/>
      <c r="C121" s="4" t="s">
        <v>249</v>
      </c>
      <c r="D121" s="10">
        <v>0</v>
      </c>
      <c r="E121" s="11" t="s">
        <v>20</v>
      </c>
      <c r="F121" s="10">
        <v>0</v>
      </c>
      <c r="G121" s="11" t="s">
        <v>20</v>
      </c>
      <c r="H121" s="7" t="s">
        <v>142</v>
      </c>
      <c r="I121" s="18" t="s">
        <v>44</v>
      </c>
      <c r="J121" t="str">
        <f t="shared" si="2"/>
        <v>Safety &amp; Privacy</v>
      </c>
      <c r="K121">
        <f t="shared" si="3"/>
        <v>0</v>
      </c>
    </row>
    <row r="122" spans="1:11" ht="38" customHeight="1" x14ac:dyDescent="0.35">
      <c r="A122" s="2"/>
      <c r="B122" s="9"/>
      <c r="C122" s="4" t="s">
        <v>250</v>
      </c>
      <c r="D122" s="10">
        <v>0</v>
      </c>
      <c r="E122" s="11" t="s">
        <v>20</v>
      </c>
      <c r="F122" s="16">
        <v>0.1</v>
      </c>
      <c r="G122" s="17" t="s">
        <v>36</v>
      </c>
      <c r="H122" s="7" t="s">
        <v>211</v>
      </c>
      <c r="I122" s="13" t="s">
        <v>41</v>
      </c>
      <c r="J122" t="str">
        <f t="shared" si="2"/>
        <v>Safety &amp; Privacy</v>
      </c>
      <c r="K122">
        <f t="shared" si="3"/>
        <v>2</v>
      </c>
    </row>
    <row r="123" spans="1:11" ht="38" customHeight="1" x14ac:dyDescent="0.35">
      <c r="A123" s="2"/>
      <c r="B123" s="9"/>
      <c r="C123" s="4" t="s">
        <v>251</v>
      </c>
      <c r="D123" s="10">
        <v>0</v>
      </c>
      <c r="E123" s="11" t="s">
        <v>20</v>
      </c>
      <c r="F123" s="16">
        <v>0.2</v>
      </c>
      <c r="G123" s="17" t="s">
        <v>36</v>
      </c>
      <c r="H123" s="7" t="s">
        <v>252</v>
      </c>
      <c r="I123" s="12" t="s">
        <v>22</v>
      </c>
      <c r="J123" t="str">
        <f t="shared" si="2"/>
        <v>Safety &amp; Privacy</v>
      </c>
      <c r="K123">
        <f t="shared" si="3"/>
        <v>3</v>
      </c>
    </row>
    <row r="124" spans="1:11" ht="38" customHeight="1" x14ac:dyDescent="0.35">
      <c r="A124" s="2"/>
      <c r="B124" s="9"/>
      <c r="C124" s="4" t="s">
        <v>253</v>
      </c>
      <c r="D124" s="10">
        <v>0</v>
      </c>
      <c r="E124" s="11" t="s">
        <v>20</v>
      </c>
      <c r="F124" s="10">
        <v>0</v>
      </c>
      <c r="G124" s="11" t="s">
        <v>20</v>
      </c>
      <c r="H124" s="7" t="s">
        <v>169</v>
      </c>
      <c r="I124" s="13" t="s">
        <v>41</v>
      </c>
      <c r="J124" t="str">
        <f t="shared" si="2"/>
        <v>Safety &amp; Privacy</v>
      </c>
      <c r="K124">
        <f t="shared" si="3"/>
        <v>2</v>
      </c>
    </row>
    <row r="125" spans="1:11" ht="38" customHeight="1" x14ac:dyDescent="0.35">
      <c r="A125" s="2"/>
      <c r="B125" s="3" t="s">
        <v>254</v>
      </c>
      <c r="C125" s="4" t="s">
        <v>255</v>
      </c>
      <c r="D125" s="10">
        <v>0</v>
      </c>
      <c r="E125" s="11" t="s">
        <v>20</v>
      </c>
      <c r="F125" s="14">
        <v>0.4</v>
      </c>
      <c r="G125" s="15" t="s">
        <v>33</v>
      </c>
      <c r="H125" s="7" t="s">
        <v>256</v>
      </c>
      <c r="I125" s="21" t="s">
        <v>257</v>
      </c>
      <c r="J125" t="str">
        <f t="shared" si="2"/>
        <v>Admin Panel</v>
      </c>
      <c r="K125">
        <f t="shared" si="3"/>
        <v>10</v>
      </c>
    </row>
    <row r="126" spans="1:11" ht="38" customHeight="1" x14ac:dyDescent="0.35">
      <c r="A126" s="2"/>
      <c r="B126" s="9"/>
      <c r="C126" s="4" t="s">
        <v>258</v>
      </c>
      <c r="D126" s="10">
        <v>0</v>
      </c>
      <c r="E126" s="11" t="s">
        <v>20</v>
      </c>
      <c r="F126" s="14">
        <v>0.3</v>
      </c>
      <c r="G126" s="15" t="s">
        <v>33</v>
      </c>
      <c r="H126" s="7" t="s">
        <v>259</v>
      </c>
      <c r="I126" s="8" t="s">
        <v>18</v>
      </c>
      <c r="J126" t="str">
        <f t="shared" si="2"/>
        <v>Admin Panel</v>
      </c>
      <c r="K126">
        <f t="shared" si="3"/>
        <v>0</v>
      </c>
    </row>
    <row r="127" spans="1:11" ht="38" customHeight="1" x14ac:dyDescent="0.35">
      <c r="A127" s="2"/>
      <c r="B127" s="9"/>
      <c r="C127" s="4" t="s">
        <v>260</v>
      </c>
      <c r="D127" s="10">
        <v>0</v>
      </c>
      <c r="E127" s="11" t="s">
        <v>20</v>
      </c>
      <c r="F127" s="16">
        <v>0.2</v>
      </c>
      <c r="G127" s="17" t="s">
        <v>36</v>
      </c>
      <c r="H127" s="7" t="s">
        <v>261</v>
      </c>
      <c r="I127" s="8" t="s">
        <v>18</v>
      </c>
      <c r="J127" t="str">
        <f t="shared" si="2"/>
        <v>Admin Panel</v>
      </c>
      <c r="K127">
        <f t="shared" si="3"/>
        <v>0</v>
      </c>
    </row>
    <row r="128" spans="1:11" ht="38" customHeight="1" x14ac:dyDescent="0.35">
      <c r="A128" s="2"/>
      <c r="B128" s="9"/>
      <c r="C128" s="4" t="s">
        <v>262</v>
      </c>
      <c r="D128" s="10">
        <v>0</v>
      </c>
      <c r="E128" s="11" t="s">
        <v>20</v>
      </c>
      <c r="F128" s="16">
        <v>0.2</v>
      </c>
      <c r="G128" s="17" t="s">
        <v>36</v>
      </c>
      <c r="H128" s="7" t="s">
        <v>261</v>
      </c>
      <c r="I128" s="8" t="s">
        <v>18</v>
      </c>
      <c r="J128" t="str">
        <f t="shared" si="2"/>
        <v>Admin Panel</v>
      </c>
      <c r="K128">
        <f t="shared" si="3"/>
        <v>0</v>
      </c>
    </row>
    <row r="129" spans="1:11" ht="38" customHeight="1" x14ac:dyDescent="0.35">
      <c r="A129" s="2"/>
      <c r="B129" s="9"/>
      <c r="C129" s="4" t="s">
        <v>263</v>
      </c>
      <c r="D129" s="10">
        <v>0</v>
      </c>
      <c r="E129" s="11" t="s">
        <v>20</v>
      </c>
      <c r="F129" s="16">
        <v>0.1</v>
      </c>
      <c r="G129" s="17" t="s">
        <v>36</v>
      </c>
      <c r="H129" s="7" t="s">
        <v>264</v>
      </c>
      <c r="I129" s="8" t="s">
        <v>18</v>
      </c>
      <c r="J129" t="str">
        <f t="shared" si="2"/>
        <v>Admin Panel</v>
      </c>
      <c r="K129">
        <f t="shared" si="3"/>
        <v>0</v>
      </c>
    </row>
    <row r="130" spans="1:11" ht="38" customHeight="1" x14ac:dyDescent="0.35">
      <c r="A130" s="2"/>
      <c r="B130" s="9"/>
      <c r="C130" s="4" t="s">
        <v>265</v>
      </c>
      <c r="D130" s="10">
        <v>0</v>
      </c>
      <c r="E130" s="11" t="s">
        <v>20</v>
      </c>
      <c r="F130" s="10">
        <v>0</v>
      </c>
      <c r="G130" s="11" t="s">
        <v>20</v>
      </c>
      <c r="H130" s="7" t="s">
        <v>169</v>
      </c>
      <c r="I130" s="8" t="s">
        <v>18</v>
      </c>
      <c r="J130" t="str">
        <f t="shared" si="2"/>
        <v>Admin Panel</v>
      </c>
      <c r="K130">
        <f t="shared" si="3"/>
        <v>0</v>
      </c>
    </row>
    <row r="131" spans="1:11" ht="38" customHeight="1" x14ac:dyDescent="0.35">
      <c r="A131" s="2"/>
      <c r="B131" s="9"/>
      <c r="C131" s="4" t="s">
        <v>266</v>
      </c>
      <c r="D131" s="10">
        <v>0</v>
      </c>
      <c r="E131" s="11" t="s">
        <v>20</v>
      </c>
      <c r="F131" s="16">
        <v>0.2</v>
      </c>
      <c r="G131" s="17" t="s">
        <v>36</v>
      </c>
      <c r="H131" s="7" t="s">
        <v>261</v>
      </c>
      <c r="I131" s="8" t="s">
        <v>18</v>
      </c>
      <c r="J131" t="str">
        <f t="shared" si="2"/>
        <v>Admin Panel</v>
      </c>
      <c r="K131">
        <f t="shared" si="3"/>
        <v>0</v>
      </c>
    </row>
    <row r="132" spans="1:11" ht="38" customHeight="1" x14ac:dyDescent="0.35">
      <c r="A132" s="2"/>
      <c r="B132" s="3" t="s">
        <v>267</v>
      </c>
      <c r="C132" s="4" t="s">
        <v>268</v>
      </c>
      <c r="D132" s="10">
        <v>0</v>
      </c>
      <c r="E132" s="11" t="s">
        <v>20</v>
      </c>
      <c r="F132" s="10">
        <v>0</v>
      </c>
      <c r="G132" s="11" t="s">
        <v>20</v>
      </c>
      <c r="H132" s="7" t="s">
        <v>169</v>
      </c>
      <c r="I132" s="12" t="s">
        <v>119</v>
      </c>
      <c r="J132" t="str">
        <f t="shared" si="2"/>
        <v>Monetisation</v>
      </c>
      <c r="K132">
        <f t="shared" si="3"/>
        <v>5</v>
      </c>
    </row>
    <row r="133" spans="1:11" ht="38" customHeight="1" x14ac:dyDescent="0.35">
      <c r="A133" s="2"/>
      <c r="B133" s="9"/>
      <c r="C133" s="4" t="s">
        <v>269</v>
      </c>
      <c r="D133" s="19">
        <v>0.6</v>
      </c>
      <c r="E133" s="20" t="s">
        <v>51</v>
      </c>
      <c r="F133" s="19">
        <v>0.65</v>
      </c>
      <c r="G133" s="20" t="s">
        <v>51</v>
      </c>
      <c r="H133" s="7" t="s">
        <v>270</v>
      </c>
      <c r="I133" s="13" t="s">
        <v>41</v>
      </c>
      <c r="J133" t="str">
        <f t="shared" si="2"/>
        <v>Monetisation</v>
      </c>
      <c r="K133">
        <f t="shared" si="3"/>
        <v>2</v>
      </c>
    </row>
    <row r="134" spans="1:11" ht="38" customHeight="1" x14ac:dyDescent="0.35">
      <c r="A134" s="2"/>
      <c r="B134" s="9"/>
      <c r="C134" s="4" t="s">
        <v>271</v>
      </c>
      <c r="D134" s="14">
        <v>0.55000000000000004</v>
      </c>
      <c r="E134" s="15" t="s">
        <v>33</v>
      </c>
      <c r="F134" s="19">
        <v>0.6</v>
      </c>
      <c r="G134" s="20" t="s">
        <v>51</v>
      </c>
      <c r="H134" s="7" t="s">
        <v>272</v>
      </c>
      <c r="I134" s="13" t="s">
        <v>41</v>
      </c>
      <c r="J134" t="str">
        <f t="shared" ref="J134:J148" si="4">IF($B134&lt;&gt;"",$B134,J133)</f>
        <v>Monetisation</v>
      </c>
      <c r="K134">
        <f t="shared" ref="K134:K148" si="5">IFERROR(VALUE(LEFT($I134,FIND(" ",$I134&amp;" ")-1)),0)</f>
        <v>2</v>
      </c>
    </row>
    <row r="135" spans="1:11" ht="38" customHeight="1" x14ac:dyDescent="0.35">
      <c r="A135" s="2"/>
      <c r="B135" s="9"/>
      <c r="C135" s="4" t="s">
        <v>273</v>
      </c>
      <c r="D135" s="10">
        <v>0</v>
      </c>
      <c r="E135" s="11" t="s">
        <v>20</v>
      </c>
      <c r="F135" s="10">
        <v>0</v>
      </c>
      <c r="G135" s="11" t="s">
        <v>20</v>
      </c>
      <c r="H135" s="7" t="s">
        <v>142</v>
      </c>
      <c r="I135" s="18" t="s">
        <v>44</v>
      </c>
      <c r="J135" t="str">
        <f t="shared" si="4"/>
        <v>Monetisation</v>
      </c>
      <c r="K135">
        <f t="shared" si="5"/>
        <v>0</v>
      </c>
    </row>
    <row r="136" spans="1:11" ht="38" customHeight="1" x14ac:dyDescent="0.35">
      <c r="A136" s="2"/>
      <c r="B136" s="9"/>
      <c r="C136" s="4" t="s">
        <v>274</v>
      </c>
      <c r="D136" s="10">
        <v>0</v>
      </c>
      <c r="E136" s="11" t="s">
        <v>20</v>
      </c>
      <c r="F136" s="16">
        <v>0.2</v>
      </c>
      <c r="G136" s="17" t="s">
        <v>36</v>
      </c>
      <c r="H136" s="7" t="s">
        <v>211</v>
      </c>
      <c r="I136" s="12" t="s">
        <v>38</v>
      </c>
      <c r="J136" t="str">
        <f t="shared" si="4"/>
        <v>Monetisation</v>
      </c>
      <c r="K136">
        <f t="shared" si="5"/>
        <v>4</v>
      </c>
    </row>
    <row r="137" spans="1:11" ht="38" customHeight="1" x14ac:dyDescent="0.35">
      <c r="A137" s="2"/>
      <c r="B137" s="9"/>
      <c r="C137" s="4" t="s">
        <v>275</v>
      </c>
      <c r="D137" s="10">
        <v>0</v>
      </c>
      <c r="E137" s="11" t="s">
        <v>20</v>
      </c>
      <c r="F137" s="10">
        <v>0</v>
      </c>
      <c r="G137" s="11" t="s">
        <v>20</v>
      </c>
      <c r="H137" s="7" t="s">
        <v>142</v>
      </c>
      <c r="I137" s="18" t="s">
        <v>44</v>
      </c>
      <c r="J137" t="str">
        <f t="shared" si="4"/>
        <v>Monetisation</v>
      </c>
      <c r="K137">
        <f t="shared" si="5"/>
        <v>0</v>
      </c>
    </row>
    <row r="138" spans="1:11" ht="38" customHeight="1" x14ac:dyDescent="0.35">
      <c r="A138" s="2"/>
      <c r="B138" s="9"/>
      <c r="C138" s="4" t="s">
        <v>276</v>
      </c>
      <c r="D138" s="19">
        <v>0.6</v>
      </c>
      <c r="E138" s="20" t="s">
        <v>51</v>
      </c>
      <c r="F138" s="19">
        <v>0.65</v>
      </c>
      <c r="G138" s="20" t="s">
        <v>51</v>
      </c>
      <c r="H138" s="7" t="s">
        <v>277</v>
      </c>
      <c r="I138" s="13" t="s">
        <v>41</v>
      </c>
      <c r="J138" t="str">
        <f t="shared" si="4"/>
        <v>Monetisation</v>
      </c>
      <c r="K138">
        <f t="shared" si="5"/>
        <v>2</v>
      </c>
    </row>
    <row r="139" spans="1:11" ht="38" customHeight="1" x14ac:dyDescent="0.35">
      <c r="A139" s="2"/>
      <c r="B139" s="3" t="s">
        <v>278</v>
      </c>
      <c r="C139" s="4" t="s">
        <v>279</v>
      </c>
      <c r="D139" s="14">
        <v>0.3</v>
      </c>
      <c r="E139" s="15" t="s">
        <v>33</v>
      </c>
      <c r="F139" s="14">
        <v>0.35</v>
      </c>
      <c r="G139" s="15" t="s">
        <v>33</v>
      </c>
      <c r="H139" s="7" t="s">
        <v>280</v>
      </c>
      <c r="I139" s="21" t="s">
        <v>81</v>
      </c>
      <c r="J139" t="str">
        <f t="shared" si="4"/>
        <v>Advanced / Optional Features</v>
      </c>
      <c r="K139">
        <f t="shared" si="5"/>
        <v>7</v>
      </c>
    </row>
    <row r="140" spans="1:11" ht="38" customHeight="1" x14ac:dyDescent="0.35">
      <c r="A140" s="2"/>
      <c r="B140" s="9"/>
      <c r="C140" s="4" t="s">
        <v>281</v>
      </c>
      <c r="D140" s="19">
        <v>0.65</v>
      </c>
      <c r="E140" s="20" t="s">
        <v>51</v>
      </c>
      <c r="F140" s="19">
        <v>0.6</v>
      </c>
      <c r="G140" s="20" t="s">
        <v>51</v>
      </c>
      <c r="H140" s="7" t="s">
        <v>282</v>
      </c>
      <c r="I140" s="13" t="s">
        <v>41</v>
      </c>
      <c r="J140" t="str">
        <f t="shared" si="4"/>
        <v>Advanced / Optional Features</v>
      </c>
      <c r="K140">
        <f t="shared" si="5"/>
        <v>2</v>
      </c>
    </row>
    <row r="141" spans="1:11" ht="38" customHeight="1" x14ac:dyDescent="0.35">
      <c r="A141" s="2"/>
      <c r="B141" s="9"/>
      <c r="C141" s="4" t="s">
        <v>283</v>
      </c>
      <c r="D141" s="10">
        <v>0</v>
      </c>
      <c r="E141" s="11" t="s">
        <v>20</v>
      </c>
      <c r="F141" s="10">
        <v>0</v>
      </c>
      <c r="G141" s="11" t="s">
        <v>20</v>
      </c>
      <c r="H141" s="7" t="s">
        <v>284</v>
      </c>
      <c r="I141" s="12" t="s">
        <v>22</v>
      </c>
      <c r="J141" t="str">
        <f t="shared" si="4"/>
        <v>Advanced / Optional Features</v>
      </c>
      <c r="K141">
        <f t="shared" si="5"/>
        <v>3</v>
      </c>
    </row>
    <row r="142" spans="1:11" ht="38" customHeight="1" x14ac:dyDescent="0.35">
      <c r="A142" s="2"/>
      <c r="B142" s="9"/>
      <c r="C142" s="4" t="s">
        <v>285</v>
      </c>
      <c r="D142" s="19">
        <v>0.6</v>
      </c>
      <c r="E142" s="20" t="s">
        <v>51</v>
      </c>
      <c r="F142" s="10">
        <v>0</v>
      </c>
      <c r="G142" s="11" t="s">
        <v>20</v>
      </c>
      <c r="H142" s="7" t="s">
        <v>286</v>
      </c>
      <c r="I142" s="12" t="s">
        <v>22</v>
      </c>
      <c r="J142" t="str">
        <f t="shared" si="4"/>
        <v>Advanced / Optional Features</v>
      </c>
      <c r="K142">
        <f t="shared" si="5"/>
        <v>3</v>
      </c>
    </row>
    <row r="143" spans="1:11" ht="38" customHeight="1" x14ac:dyDescent="0.35">
      <c r="A143" s="2"/>
      <c r="B143" s="9"/>
      <c r="C143" s="4" t="s">
        <v>287</v>
      </c>
      <c r="D143" s="10">
        <v>0</v>
      </c>
      <c r="E143" s="11" t="s">
        <v>20</v>
      </c>
      <c r="F143" s="10">
        <v>0</v>
      </c>
      <c r="G143" s="11" t="s">
        <v>20</v>
      </c>
      <c r="H143" s="7" t="s">
        <v>288</v>
      </c>
      <c r="I143" s="18" t="s">
        <v>44</v>
      </c>
      <c r="J143" t="str">
        <f t="shared" si="4"/>
        <v>Advanced / Optional Features</v>
      </c>
      <c r="K143">
        <f t="shared" si="5"/>
        <v>0</v>
      </c>
    </row>
    <row r="144" spans="1:11" ht="38" customHeight="1" x14ac:dyDescent="0.35">
      <c r="A144" s="2"/>
      <c r="B144" s="9"/>
      <c r="C144" s="4" t="s">
        <v>289</v>
      </c>
      <c r="D144" s="10">
        <v>0</v>
      </c>
      <c r="E144" s="11" t="s">
        <v>20</v>
      </c>
      <c r="F144" s="10">
        <v>0</v>
      </c>
      <c r="G144" s="11" t="s">
        <v>20</v>
      </c>
      <c r="H144" s="7" t="s">
        <v>142</v>
      </c>
      <c r="I144" s="18" t="s">
        <v>44</v>
      </c>
      <c r="J144" t="str">
        <f t="shared" si="4"/>
        <v>Advanced / Optional Features</v>
      </c>
      <c r="K144">
        <f t="shared" si="5"/>
        <v>0</v>
      </c>
    </row>
    <row r="145" spans="1:11" ht="38" customHeight="1" x14ac:dyDescent="0.35">
      <c r="A145" s="2"/>
      <c r="B145" s="9"/>
      <c r="C145" s="4" t="s">
        <v>290</v>
      </c>
      <c r="D145" s="10">
        <v>0</v>
      </c>
      <c r="E145" s="11" t="s">
        <v>20</v>
      </c>
      <c r="F145" s="10">
        <v>0</v>
      </c>
      <c r="G145" s="11" t="s">
        <v>20</v>
      </c>
      <c r="H145" s="7" t="s">
        <v>142</v>
      </c>
      <c r="I145" s="18" t="s">
        <v>44</v>
      </c>
      <c r="J145" t="str">
        <f t="shared" si="4"/>
        <v>Advanced / Optional Features</v>
      </c>
      <c r="K145">
        <f t="shared" si="5"/>
        <v>0</v>
      </c>
    </row>
    <row r="146" spans="1:11" ht="38" customHeight="1" x14ac:dyDescent="0.35">
      <c r="A146" s="2"/>
      <c r="B146" s="9"/>
      <c r="C146" s="4" t="s">
        <v>291</v>
      </c>
      <c r="D146" s="10">
        <v>0</v>
      </c>
      <c r="E146" s="11" t="s">
        <v>20</v>
      </c>
      <c r="F146" s="10">
        <v>0</v>
      </c>
      <c r="G146" s="11" t="s">
        <v>20</v>
      </c>
      <c r="H146" s="7" t="s">
        <v>142</v>
      </c>
      <c r="I146" s="18" t="s">
        <v>44</v>
      </c>
      <c r="J146" t="str">
        <f t="shared" si="4"/>
        <v>Advanced / Optional Features</v>
      </c>
      <c r="K146">
        <f t="shared" si="5"/>
        <v>0</v>
      </c>
    </row>
    <row r="147" spans="1:11" ht="38" customHeight="1" x14ac:dyDescent="0.35">
      <c r="A147" s="2"/>
      <c r="B147" s="9"/>
      <c r="C147" s="4" t="s">
        <v>292</v>
      </c>
      <c r="D147" s="10">
        <v>0</v>
      </c>
      <c r="E147" s="11" t="s">
        <v>20</v>
      </c>
      <c r="F147" s="10">
        <v>0</v>
      </c>
      <c r="G147" s="11" t="s">
        <v>20</v>
      </c>
      <c r="H147" s="7" t="s">
        <v>142</v>
      </c>
      <c r="I147" s="18" t="s">
        <v>44</v>
      </c>
      <c r="J147" t="str">
        <f t="shared" si="4"/>
        <v>Advanced / Optional Features</v>
      </c>
      <c r="K147">
        <f t="shared" si="5"/>
        <v>0</v>
      </c>
    </row>
    <row r="148" spans="1:11" ht="38" customHeight="1" x14ac:dyDescent="0.35">
      <c r="A148" s="2"/>
      <c r="B148" s="9"/>
      <c r="C148" s="4" t="s">
        <v>293</v>
      </c>
      <c r="D148" s="10">
        <v>0</v>
      </c>
      <c r="E148" s="11" t="s">
        <v>20</v>
      </c>
      <c r="F148" s="19">
        <v>0.6</v>
      </c>
      <c r="G148" s="20" t="s">
        <v>51</v>
      </c>
      <c r="H148" s="7" t="s">
        <v>294</v>
      </c>
      <c r="I148" s="13" t="s">
        <v>41</v>
      </c>
      <c r="J148" t="str">
        <f t="shared" si="4"/>
        <v>Advanced / Optional Features</v>
      </c>
      <c r="K148">
        <f t="shared" si="5"/>
        <v>2</v>
      </c>
    </row>
    <row r="150" spans="1:11" ht="15.5" x14ac:dyDescent="0.35">
      <c r="A150" s="22" t="s">
        <v>295</v>
      </c>
      <c r="B150" s="23"/>
      <c r="C150" s="23"/>
      <c r="D150" s="23"/>
      <c r="E150" s="23"/>
    </row>
    <row r="152" spans="1:11" x14ac:dyDescent="0.35">
      <c r="A152" s="24" t="s">
        <v>296</v>
      </c>
    </row>
    <row r="153" spans="1:11" x14ac:dyDescent="0.35">
      <c r="A153" t="s">
        <v>297</v>
      </c>
      <c r="C153" s="25">
        <v>26</v>
      </c>
    </row>
    <row r="154" spans="1:11" x14ac:dyDescent="0.35">
      <c r="A154" t="s">
        <v>298</v>
      </c>
      <c r="C154" s="26">
        <v>2</v>
      </c>
    </row>
    <row r="155" spans="1:11" x14ac:dyDescent="0.35">
      <c r="A155" t="s">
        <v>299</v>
      </c>
      <c r="C155" s="27">
        <f>C153*C154</f>
        <v>52</v>
      </c>
    </row>
    <row r="156" spans="1:11" x14ac:dyDescent="0.35">
      <c r="A156" t="s">
        <v>300</v>
      </c>
      <c r="C156" s="28">
        <v>46244</v>
      </c>
    </row>
    <row r="157" spans="1:11" x14ac:dyDescent="0.35">
      <c r="A157" t="s">
        <v>301</v>
      </c>
      <c r="C157" s="29">
        <f>WORKDAY.INTL(C156-1,C155,11)</f>
        <v>46303</v>
      </c>
    </row>
    <row r="159" spans="1:11" x14ac:dyDescent="0.35">
      <c r="A159" s="24" t="s">
        <v>302</v>
      </c>
    </row>
    <row r="160" spans="1:11" x14ac:dyDescent="0.35">
      <c r="A160" t="s">
        <v>303</v>
      </c>
      <c r="C160" s="30">
        <f>SUM(K5:K148)</f>
        <v>295</v>
      </c>
    </row>
    <row r="161" spans="1:5" x14ac:dyDescent="0.35">
      <c r="A161" t="s">
        <v>304</v>
      </c>
      <c r="C161" s="27">
        <f>COUNTIF(K5:K148,"&gt;0")</f>
        <v>109</v>
      </c>
    </row>
    <row r="162" spans="1:5" x14ac:dyDescent="0.35">
      <c r="A162" t="s">
        <v>305</v>
      </c>
      <c r="C162" s="27">
        <f>COUNTIF(I5:I148,"Done")</f>
        <v>17</v>
      </c>
    </row>
    <row r="163" spans="1:5" x14ac:dyDescent="0.35">
      <c r="A163" t="s">
        <v>306</v>
      </c>
      <c r="C163" s="27">
        <f>COUNTIF(I5:I148,"Post-Launch")</f>
        <v>18</v>
      </c>
    </row>
    <row r="164" spans="1:5" x14ac:dyDescent="0.35">
      <c r="A164" t="s">
        <v>307</v>
      </c>
      <c r="C164" s="31">
        <f>ROUNDUP(C160/C155,0)</f>
        <v>6</v>
      </c>
    </row>
    <row r="165" spans="1:5" x14ac:dyDescent="0.35">
      <c r="A165" t="s">
        <v>308</v>
      </c>
      <c r="C165" s="27">
        <f>ROUND(C160/C164/C154,1)</f>
        <v>24.6</v>
      </c>
    </row>
    <row r="167" spans="1:5" x14ac:dyDescent="0.35">
      <c r="A167" s="24" t="s">
        <v>309</v>
      </c>
    </row>
    <row r="168" spans="1:5" x14ac:dyDescent="0.35">
      <c r="B168" s="32" t="s">
        <v>3</v>
      </c>
      <c r="C168" s="33" t="s">
        <v>310</v>
      </c>
      <c r="D168" s="33" t="s">
        <v>311</v>
      </c>
      <c r="E168" s="33" t="s">
        <v>312</v>
      </c>
    </row>
    <row r="169" spans="1:5" x14ac:dyDescent="0.35">
      <c r="B169" s="34" t="s">
        <v>14</v>
      </c>
      <c r="C169" s="35" t="s">
        <v>313</v>
      </c>
      <c r="D169" s="35">
        <f>SUMIF($J$5:$J$148,$B169,$K$5:$K$148)</f>
        <v>15</v>
      </c>
      <c r="E169" s="36">
        <f>D169/$D$184</f>
        <v>5.0847457627118647E-2</v>
      </c>
    </row>
    <row r="170" spans="1:5" x14ac:dyDescent="0.35">
      <c r="B170" s="34" t="s">
        <v>45</v>
      </c>
      <c r="C170" s="35" t="s">
        <v>313</v>
      </c>
      <c r="D170" s="35">
        <f t="shared" ref="D170:D183" si="6">SUMIF($J$5:$J$148,$B170,$K$5:$K$148)</f>
        <v>33</v>
      </c>
      <c r="E170" s="36">
        <f t="shared" ref="E170:E183" si="7">D170/$D$184</f>
        <v>0.11186440677966102</v>
      </c>
    </row>
    <row r="171" spans="1:5" x14ac:dyDescent="0.35">
      <c r="B171" s="34" t="s">
        <v>76</v>
      </c>
      <c r="C171" s="35" t="s">
        <v>313</v>
      </c>
      <c r="D171" s="35">
        <f t="shared" si="6"/>
        <v>25</v>
      </c>
      <c r="E171" s="36">
        <f t="shared" si="7"/>
        <v>8.4745762711864403E-2</v>
      </c>
    </row>
    <row r="172" spans="1:5" x14ac:dyDescent="0.35">
      <c r="B172" s="34" t="s">
        <v>102</v>
      </c>
      <c r="C172" s="35" t="s">
        <v>313</v>
      </c>
      <c r="D172" s="35">
        <f t="shared" si="6"/>
        <v>18</v>
      </c>
      <c r="E172" s="36">
        <f t="shared" si="7"/>
        <v>6.1016949152542375E-2</v>
      </c>
    </row>
    <row r="173" spans="1:5" x14ac:dyDescent="0.35">
      <c r="B173" s="34" t="s">
        <v>124</v>
      </c>
      <c r="C173" s="35" t="s">
        <v>313</v>
      </c>
      <c r="D173" s="35">
        <f t="shared" si="6"/>
        <v>36</v>
      </c>
      <c r="E173" s="36">
        <f t="shared" si="7"/>
        <v>0.12203389830508475</v>
      </c>
    </row>
    <row r="174" spans="1:5" x14ac:dyDescent="0.35">
      <c r="B174" s="34" t="s">
        <v>154</v>
      </c>
      <c r="C174" s="35" t="s">
        <v>313</v>
      </c>
      <c r="D174" s="35">
        <f t="shared" si="6"/>
        <v>15</v>
      </c>
      <c r="E174" s="36">
        <f t="shared" si="7"/>
        <v>5.0847457627118647E-2</v>
      </c>
    </row>
    <row r="175" spans="1:5" x14ac:dyDescent="0.35">
      <c r="B175" s="34" t="s">
        <v>171</v>
      </c>
      <c r="C175" s="35" t="s">
        <v>313</v>
      </c>
      <c r="D175" s="35">
        <f t="shared" si="6"/>
        <v>20</v>
      </c>
      <c r="E175" s="36">
        <f t="shared" si="7"/>
        <v>6.7796610169491525E-2</v>
      </c>
    </row>
    <row r="176" spans="1:5" x14ac:dyDescent="0.35">
      <c r="B176" s="34" t="s">
        <v>188</v>
      </c>
      <c r="C176" s="35" t="s">
        <v>314</v>
      </c>
      <c r="D176" s="35">
        <f t="shared" si="6"/>
        <v>16</v>
      </c>
      <c r="E176" s="36">
        <f t="shared" si="7"/>
        <v>5.4237288135593219E-2</v>
      </c>
    </row>
    <row r="177" spans="1:5" x14ac:dyDescent="0.35">
      <c r="B177" s="34" t="s">
        <v>200</v>
      </c>
      <c r="C177" s="35" t="s">
        <v>314</v>
      </c>
      <c r="D177" s="35">
        <f t="shared" si="6"/>
        <v>28</v>
      </c>
      <c r="E177" s="36">
        <f t="shared" si="7"/>
        <v>9.4915254237288138E-2</v>
      </c>
    </row>
    <row r="178" spans="1:5" x14ac:dyDescent="0.35">
      <c r="B178" s="34" t="s">
        <v>214</v>
      </c>
      <c r="C178" s="35" t="s">
        <v>314</v>
      </c>
      <c r="D178" s="35">
        <f t="shared" si="6"/>
        <v>14</v>
      </c>
      <c r="E178" s="36">
        <f t="shared" si="7"/>
        <v>4.7457627118644069E-2</v>
      </c>
    </row>
    <row r="179" spans="1:5" x14ac:dyDescent="0.35">
      <c r="B179" s="34" t="s">
        <v>228</v>
      </c>
      <c r="C179" s="35" t="s">
        <v>314</v>
      </c>
      <c r="D179" s="35">
        <f t="shared" si="6"/>
        <v>18</v>
      </c>
      <c r="E179" s="36">
        <f t="shared" si="7"/>
        <v>6.1016949152542375E-2</v>
      </c>
    </row>
    <row r="180" spans="1:5" x14ac:dyDescent="0.35">
      <c r="B180" s="34" t="s">
        <v>240</v>
      </c>
      <c r="C180" s="35" t="s">
        <v>314</v>
      </c>
      <c r="D180" s="35">
        <f t="shared" si="6"/>
        <v>15</v>
      </c>
      <c r="E180" s="36">
        <f t="shared" si="7"/>
        <v>5.0847457627118647E-2</v>
      </c>
    </row>
    <row r="181" spans="1:5" x14ac:dyDescent="0.35">
      <c r="B181" s="34" t="s">
        <v>254</v>
      </c>
      <c r="C181" s="35" t="s">
        <v>314</v>
      </c>
      <c r="D181" s="35">
        <f t="shared" si="6"/>
        <v>10</v>
      </c>
      <c r="E181" s="36">
        <f t="shared" si="7"/>
        <v>3.3898305084745763E-2</v>
      </c>
    </row>
    <row r="182" spans="1:5" x14ac:dyDescent="0.35">
      <c r="B182" s="34" t="s">
        <v>267</v>
      </c>
      <c r="C182" s="35" t="s">
        <v>314</v>
      </c>
      <c r="D182" s="35">
        <f t="shared" si="6"/>
        <v>15</v>
      </c>
      <c r="E182" s="36">
        <f t="shared" si="7"/>
        <v>5.0847457627118647E-2</v>
      </c>
    </row>
    <row r="183" spans="1:5" x14ac:dyDescent="0.35">
      <c r="B183" s="34" t="s">
        <v>278</v>
      </c>
      <c r="C183" s="35" t="s">
        <v>314</v>
      </c>
      <c r="D183" s="35">
        <f t="shared" si="6"/>
        <v>17</v>
      </c>
      <c r="E183" s="36">
        <f t="shared" si="7"/>
        <v>5.7627118644067797E-2</v>
      </c>
    </row>
    <row r="184" spans="1:5" x14ac:dyDescent="0.35">
      <c r="B184" s="37" t="s">
        <v>315</v>
      </c>
      <c r="C184" s="37"/>
      <c r="D184" s="38">
        <f>SUM(D169:D183)</f>
        <v>295</v>
      </c>
      <c r="E184" s="39">
        <f>SUM(E169:E183)</f>
        <v>1.0000000000000002</v>
      </c>
    </row>
    <row r="186" spans="1:5" x14ac:dyDescent="0.35">
      <c r="A186" s="24" t="s">
        <v>316</v>
      </c>
    </row>
    <row r="187" spans="1:5" x14ac:dyDescent="0.35">
      <c r="B187" s="40" t="s">
        <v>310</v>
      </c>
      <c r="C187" s="41" t="s">
        <v>311</v>
      </c>
      <c r="D187" s="41" t="s">
        <v>317</v>
      </c>
      <c r="E187" s="41" t="s">
        <v>318</v>
      </c>
    </row>
    <row r="188" spans="1:5" x14ac:dyDescent="0.35">
      <c r="B188" t="s">
        <v>313</v>
      </c>
      <c r="C188" s="27">
        <f>SUMIF($C$169:$C$183,$B188,$D$169:$D$183)</f>
        <v>162</v>
      </c>
      <c r="D188" s="27">
        <f>ROUNDUP(C188/$C$153,0)</f>
        <v>7</v>
      </c>
      <c r="E188" s="42" t="str">
        <f>TEXT($C$156,"dd-mmm-yyyy")&amp;" – "&amp;TEXT(WORKDAY.INTL($C$156-1,$C$153,11),"dd-mmm-yyyy")</f>
        <v>10-Aug-2026 – 08-Sep-2026</v>
      </c>
    </row>
    <row r="189" spans="1:5" x14ac:dyDescent="0.35">
      <c r="B189" t="s">
        <v>314</v>
      </c>
      <c r="C189" s="27">
        <f>SUMIF($C$169:$C$183,$B189,$D$169:$D$183)</f>
        <v>133</v>
      </c>
      <c r="D189" s="27">
        <f>ROUNDUP(C189/$C$153,0)</f>
        <v>6</v>
      </c>
      <c r="E189" s="42" t="str">
        <f>TEXT(WORKDAY.INTL($C$156-1,$C$153+1,11),"dd-mmm-yyyy")&amp;" – "&amp;TEXT($C$157,"dd-mmm-yyyy")</f>
        <v>09-Sep-2026 – 08-Oct-2026</v>
      </c>
    </row>
    <row r="190" spans="1:5" x14ac:dyDescent="0.35">
      <c r="B190" s="43" t="s">
        <v>315</v>
      </c>
      <c r="C190" s="44">
        <f>SUM(C188:C189)</f>
        <v>295</v>
      </c>
      <c r="D190" s="44">
        <f>MAX(D188:D189)</f>
        <v>7</v>
      </c>
      <c r="E190" s="45" t="str">
        <f>TEXT($C$156,"dd-mmm-yyyy")&amp;" – "&amp;TEXT($C$157,"dd-mmm-yyyy")</f>
        <v>10-Aug-2026 – 08-Oct-2026</v>
      </c>
    </row>
    <row r="192" spans="1:5" x14ac:dyDescent="0.35">
      <c r="A192" s="46" t="s">
        <v>319</v>
      </c>
    </row>
    <row r="194" spans="1:5" ht="15.5" x14ac:dyDescent="0.35">
      <c r="A194" s="47" t="s">
        <v>320</v>
      </c>
      <c r="B194" s="47"/>
      <c r="C194" s="47"/>
      <c r="D194" s="47"/>
      <c r="E194" s="47"/>
    </row>
    <row r="196" spans="1:5" x14ac:dyDescent="0.35">
      <c r="A196" s="48" t="s">
        <v>321</v>
      </c>
      <c r="B196" s="48" t="s">
        <v>322</v>
      </c>
      <c r="C196" s="48" t="s">
        <v>323</v>
      </c>
    </row>
    <row r="197" spans="1:5" x14ac:dyDescent="0.35">
      <c r="A197" s="49" t="s">
        <v>324</v>
      </c>
      <c r="B197" s="49" t="s">
        <v>325</v>
      </c>
      <c r="C197" s="49" t="s">
        <v>326</v>
      </c>
    </row>
    <row r="198" spans="1:5" x14ac:dyDescent="0.35">
      <c r="A198" s="50" t="s">
        <v>327</v>
      </c>
      <c r="B198" s="50" t="s">
        <v>328</v>
      </c>
      <c r="C198" s="50" t="s">
        <v>329</v>
      </c>
    </row>
    <row r="199" spans="1:5" x14ac:dyDescent="0.35">
      <c r="A199" s="49" t="s">
        <v>330</v>
      </c>
      <c r="B199" s="49" t="s">
        <v>331</v>
      </c>
      <c r="C199" s="49" t="s">
        <v>332</v>
      </c>
    </row>
    <row r="200" spans="1:5" x14ac:dyDescent="0.35">
      <c r="A200" s="50" t="s">
        <v>333</v>
      </c>
      <c r="B200" s="50" t="s">
        <v>334</v>
      </c>
      <c r="C200" s="50" t="s">
        <v>335</v>
      </c>
    </row>
    <row r="201" spans="1:5" x14ac:dyDescent="0.35">
      <c r="A201" s="49" t="s">
        <v>336</v>
      </c>
      <c r="B201" s="51">
        <v>0</v>
      </c>
      <c r="C201" s="49" t="s">
        <v>337</v>
      </c>
    </row>
    <row r="202" spans="1:5" x14ac:dyDescent="0.35">
      <c r="A202" s="50"/>
      <c r="B202" s="50"/>
      <c r="C202" s="50"/>
    </row>
    <row r="203" spans="1:5" x14ac:dyDescent="0.35">
      <c r="A203" s="49" t="s">
        <v>338</v>
      </c>
      <c r="B203" s="49" t="s">
        <v>339</v>
      </c>
      <c r="C203" s="49" t="s">
        <v>340</v>
      </c>
    </row>
    <row r="204" spans="1:5" ht="26" x14ac:dyDescent="0.35">
      <c r="A204" s="50" t="s">
        <v>341</v>
      </c>
      <c r="B204" s="50" t="s">
        <v>342</v>
      </c>
      <c r="C204" s="50" t="s">
        <v>343</v>
      </c>
    </row>
    <row r="205" spans="1:5" ht="26" x14ac:dyDescent="0.35">
      <c r="A205" s="49" t="s">
        <v>344</v>
      </c>
      <c r="B205" s="49" t="s">
        <v>342</v>
      </c>
      <c r="C205" s="49" t="s">
        <v>345</v>
      </c>
    </row>
    <row r="206" spans="1:5" x14ac:dyDescent="0.35">
      <c r="A206" s="50"/>
      <c r="B206" s="50"/>
      <c r="C206" s="50"/>
    </row>
    <row r="207" spans="1:5" x14ac:dyDescent="0.35">
      <c r="A207" s="48" t="s">
        <v>346</v>
      </c>
      <c r="B207" s="49"/>
      <c r="C207" s="49" t="s">
        <v>347</v>
      </c>
    </row>
    <row r="208" spans="1:5" ht="26" x14ac:dyDescent="0.35">
      <c r="A208" s="50" t="s">
        <v>5</v>
      </c>
      <c r="B208" s="50"/>
      <c r="C208" s="50" t="s">
        <v>348</v>
      </c>
    </row>
    <row r="209" spans="1:3" ht="26" x14ac:dyDescent="0.35">
      <c r="A209" s="49" t="s">
        <v>7</v>
      </c>
      <c r="B209" s="49"/>
      <c r="C209" s="49" t="s">
        <v>349</v>
      </c>
    </row>
    <row r="210" spans="1:3" ht="26" x14ac:dyDescent="0.35">
      <c r="A210" s="50" t="s">
        <v>10</v>
      </c>
      <c r="B210" s="50"/>
      <c r="C210" s="50" t="s">
        <v>350</v>
      </c>
    </row>
  </sheetData>
  <mergeCells count="3">
    <mergeCell ref="A1:I1"/>
    <mergeCell ref="A2:I2"/>
    <mergeCell ref="A4:I4"/>
  </mergeCells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 Media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 Mustafa</dc:creator>
  <cp:lastModifiedBy>Waleed Mustafa</cp:lastModifiedBy>
  <dcterms:created xsi:type="dcterms:W3CDTF">2026-08-08T07:17:21Z</dcterms:created>
  <dcterms:modified xsi:type="dcterms:W3CDTF">2026-08-08T07:34:27Z</dcterms:modified>
</cp:coreProperties>
</file>